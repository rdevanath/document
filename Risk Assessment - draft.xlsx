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d7017edccecfd69/Documents/Toolkits/"/>
    </mc:Choice>
  </mc:AlternateContent>
  <xr:revisionPtr revIDLastSave="108" documentId="13_ncr:1_{A85CB9C4-EBEF-4570-9E12-617F9FC84B4A}" xr6:coauthVersionLast="47" xr6:coauthVersionMax="47" xr10:uidLastSave="{F66C716B-92CD-48D1-AA16-8C97A3F50366}"/>
  <bookViews>
    <workbookView xWindow="-110" yWindow="-110" windowWidth="19420" windowHeight="10300" xr2:uid="{00000000-000D-0000-FFFF-FFFF00000000}"/>
  </bookViews>
  <sheets>
    <sheet name="Scoring board" sheetId="3" r:id="rId1"/>
    <sheet name="Risk Register" sheetId="1" r:id="rId2"/>
    <sheet name="Risk Treat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3" l="1"/>
  <c r="B32" i="3"/>
  <c r="B27" i="3"/>
  <c r="B26" i="3"/>
  <c r="B22" i="3"/>
  <c r="B21" i="3"/>
  <c r="B20" i="3"/>
  <c r="C13" i="3"/>
  <c r="C16" i="3"/>
  <c r="C15" i="3"/>
  <c r="C14" i="3"/>
  <c r="S2" i="1"/>
  <c r="R2" i="1"/>
  <c r="H2" i="1"/>
  <c r="I2" i="1" s="1"/>
</calcChain>
</file>

<file path=xl/sharedStrings.xml><?xml version="1.0" encoding="utf-8"?>
<sst xmlns="http://schemas.openxmlformats.org/spreadsheetml/2006/main" count="103" uniqueCount="80">
  <si>
    <t>Risk ID</t>
  </si>
  <si>
    <t>Asset</t>
  </si>
  <si>
    <t>Asset Owner</t>
  </si>
  <si>
    <t>Threat</t>
  </si>
  <si>
    <t>Vulnerability</t>
  </si>
  <si>
    <t>Impact (1-5)</t>
  </si>
  <si>
    <t>Likelihood (1-5)</t>
  </si>
  <si>
    <t>Inherent Risk Score</t>
  </si>
  <si>
    <t>Risk Level</t>
  </si>
  <si>
    <t>Existing Controls</t>
  </si>
  <si>
    <t>Control Reference (Annex A ID)</t>
  </si>
  <si>
    <t>Risk Treatment Option</t>
  </si>
  <si>
    <t>Treatment Actions</t>
  </si>
  <si>
    <t>Risk Owner</t>
  </si>
  <si>
    <t>Target Date</t>
  </si>
  <si>
    <t>Residual Impact (1-5)</t>
  </si>
  <si>
    <t>Residual Likelihood (1-5)</t>
  </si>
  <si>
    <t>Residual Risk Score</t>
  </si>
  <si>
    <t>Residual Risk Level</t>
  </si>
  <si>
    <t>Status</t>
  </si>
  <si>
    <t>Impact</t>
  </si>
  <si>
    <t>Likelihood</t>
  </si>
  <si>
    <t>Score</t>
  </si>
  <si>
    <t>Level</t>
  </si>
  <si>
    <t>R-01</t>
  </si>
  <si>
    <t>Customer DB</t>
  </si>
  <si>
    <t>Data breach</t>
  </si>
  <si>
    <t>Weak access controls</t>
  </si>
  <si>
    <t>High</t>
  </si>
  <si>
    <t>R-02</t>
  </si>
  <si>
    <t>Production app</t>
  </si>
  <si>
    <t>Ransomware</t>
  </si>
  <si>
    <t>No EDR</t>
  </si>
  <si>
    <t>Medium</t>
  </si>
  <si>
    <t>R-03</t>
  </si>
  <si>
    <t>Office network</t>
  </si>
  <si>
    <t>Physical intrusion</t>
  </si>
  <si>
    <t>No badge system</t>
  </si>
  <si>
    <t>Low</t>
  </si>
  <si>
    <t>Reduce</t>
  </si>
  <si>
    <t>Risk = Likelihood × Impact</t>
  </si>
  <si>
    <t>Rare</t>
  </si>
  <si>
    <t>Negligible</t>
  </si>
  <si>
    <t>Unlikely</t>
  </si>
  <si>
    <t>Minor</t>
  </si>
  <si>
    <t>Possible</t>
  </si>
  <si>
    <t>Moderate</t>
  </si>
  <si>
    <t>Likely</t>
  </si>
  <si>
    <t>Major</t>
  </si>
  <si>
    <t>Almost Certain</t>
  </si>
  <si>
    <t>Severe</t>
  </si>
  <si>
    <t>Scoring Scale (1–5)</t>
  </si>
  <si>
    <t>Risk Level Thresholds</t>
  </si>
  <si>
    <t>1–7</t>
  </si>
  <si>
    <t>8–14</t>
  </si>
  <si>
    <t>15–25</t>
  </si>
  <si>
    <t>Review Date</t>
  </si>
  <si>
    <t>Transfer</t>
  </si>
  <si>
    <t>Risk Methodology</t>
  </si>
  <si>
    <t>Asset Type</t>
  </si>
  <si>
    <t>CTO</t>
  </si>
  <si>
    <t>Information</t>
  </si>
  <si>
    <t>IT Manager</t>
  </si>
  <si>
    <t>System</t>
  </si>
  <si>
    <t>HR Manager</t>
  </si>
  <si>
    <t>High Risks</t>
  </si>
  <si>
    <t>Total Risks</t>
  </si>
  <si>
    <t>Medium Risks</t>
  </si>
  <si>
    <t>Low Risks</t>
  </si>
  <si>
    <t>Pie chart (Risk distribution)</t>
  </si>
  <si>
    <t>Bar chart (Inherent vs Residual)</t>
  </si>
  <si>
    <t>Count</t>
  </si>
  <si>
    <t>Metric</t>
  </si>
  <si>
    <t>Value</t>
  </si>
  <si>
    <t>Avg Inherent Risk</t>
  </si>
  <si>
    <t>Avg Residual Risk</t>
  </si>
  <si>
    <t>Category</t>
  </si>
  <si>
    <t>Inherent</t>
  </si>
  <si>
    <t>Residual</t>
  </si>
  <si>
    <t>Count of High Risks Before &amp; After - Bar chat for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</si>
</sst>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EED1-ED5E-4811-A8D6-EC0089067911}">
  <dimension ref="A1:G34"/>
  <sheetViews>
    <sheetView showGridLines="0" tabSelected="1" workbookViewId="0"/>
  </sheetViews>
  <sheetFormatPr defaultRowHeight="14.5" x14ac:dyDescent="0.35"/>
  <cols>
    <col min="2" max="2" width="11.36328125" customWidth="1"/>
    <col min="3" max="3" width="11.08984375" customWidth="1"/>
  </cols>
  <sheetData>
    <row r="1" spans="1:7" x14ac:dyDescent="0.35">
      <c r="A1" s="10" t="s">
        <v>58</v>
      </c>
    </row>
    <row r="2" spans="1:7" x14ac:dyDescent="0.35">
      <c r="A2" s="10" t="s">
        <v>40</v>
      </c>
    </row>
    <row r="4" spans="1:7" ht="17.5" x14ac:dyDescent="0.35">
      <c r="A4" s="7" t="s">
        <v>51</v>
      </c>
      <c r="E4" s="7" t="s">
        <v>52</v>
      </c>
    </row>
    <row r="5" spans="1:7" ht="29" x14ac:dyDescent="0.35">
      <c r="A5" s="4" t="s">
        <v>22</v>
      </c>
      <c r="B5" s="4" t="s">
        <v>21</v>
      </c>
      <c r="C5" s="4" t="s">
        <v>20</v>
      </c>
      <c r="E5" s="4" t="s">
        <v>22</v>
      </c>
      <c r="F5" s="4" t="s">
        <v>8</v>
      </c>
      <c r="G5" s="1"/>
    </row>
    <row r="6" spans="1:7" x14ac:dyDescent="0.35">
      <c r="A6" s="3">
        <v>1</v>
      </c>
      <c r="B6" s="3" t="s">
        <v>41</v>
      </c>
      <c r="C6" s="3" t="s">
        <v>42</v>
      </c>
      <c r="E6" s="3" t="s">
        <v>53</v>
      </c>
      <c r="F6" s="3" t="s">
        <v>38</v>
      </c>
      <c r="G6" s="6"/>
    </row>
    <row r="7" spans="1:7" x14ac:dyDescent="0.35">
      <c r="A7" s="3">
        <v>2</v>
      </c>
      <c r="B7" s="3" t="s">
        <v>43</v>
      </c>
      <c r="C7" s="3" t="s">
        <v>44</v>
      </c>
      <c r="E7" s="3" t="s">
        <v>54</v>
      </c>
      <c r="F7" s="3" t="s">
        <v>33</v>
      </c>
      <c r="G7" s="6"/>
    </row>
    <row r="8" spans="1:7" x14ac:dyDescent="0.35">
      <c r="A8" s="3">
        <v>3</v>
      </c>
      <c r="B8" s="3" t="s">
        <v>45</v>
      </c>
      <c r="C8" s="3" t="s">
        <v>46</v>
      </c>
      <c r="E8" s="3" t="s">
        <v>55</v>
      </c>
      <c r="F8" s="3" t="s">
        <v>28</v>
      </c>
      <c r="G8" s="6"/>
    </row>
    <row r="9" spans="1:7" x14ac:dyDescent="0.35">
      <c r="A9" s="3">
        <v>4</v>
      </c>
      <c r="B9" s="3" t="s">
        <v>47</v>
      </c>
      <c r="C9" s="3" t="s">
        <v>48</v>
      </c>
      <c r="E9" s="6"/>
      <c r="F9" s="6"/>
      <c r="G9" s="6"/>
    </row>
    <row r="10" spans="1:7" ht="29" x14ac:dyDescent="0.35">
      <c r="A10" s="3">
        <v>5</v>
      </c>
      <c r="B10" s="3" t="s">
        <v>49</v>
      </c>
      <c r="C10" s="3" t="s">
        <v>50</v>
      </c>
      <c r="E10" s="6"/>
      <c r="F10" s="6"/>
      <c r="G10" s="6"/>
    </row>
    <row r="13" spans="1:7" x14ac:dyDescent="0.35">
      <c r="A13" s="12" t="s">
        <v>66</v>
      </c>
      <c r="B13" s="12"/>
      <c r="C13" s="2">
        <f>COUNTA('Risk Register'!A:A)-1</f>
        <v>1</v>
      </c>
    </row>
    <row r="14" spans="1:7" x14ac:dyDescent="0.35">
      <c r="A14" s="13" t="s">
        <v>65</v>
      </c>
      <c r="B14" s="11"/>
      <c r="C14" s="11">
        <f>COUNTIF('Risk Register'!J:J,"High")</f>
        <v>0</v>
      </c>
    </row>
    <row r="15" spans="1:7" x14ac:dyDescent="0.35">
      <c r="A15" s="14" t="s">
        <v>67</v>
      </c>
      <c r="B15" s="14"/>
      <c r="C15" s="2">
        <f>COUNTIF('Risk Register'!J:J,"Medium")</f>
        <v>0</v>
      </c>
    </row>
    <row r="16" spans="1:7" x14ac:dyDescent="0.35">
      <c r="A16" s="13" t="s">
        <v>68</v>
      </c>
      <c r="B16" s="11"/>
      <c r="C16" s="11">
        <f>COUNTIF('Risk Register'!J:J,"Low")</f>
        <v>0</v>
      </c>
    </row>
    <row r="18" spans="1:3" x14ac:dyDescent="0.35">
      <c r="A18" t="s">
        <v>69</v>
      </c>
    </row>
    <row r="19" spans="1:3" ht="29" x14ac:dyDescent="0.35">
      <c r="A19" s="1" t="s">
        <v>8</v>
      </c>
      <c r="B19" s="1" t="s">
        <v>71</v>
      </c>
    </row>
    <row r="20" spans="1:3" x14ac:dyDescent="0.35">
      <c r="A20" s="3" t="s">
        <v>28</v>
      </c>
      <c r="B20" s="3">
        <f>COUNTIF('Risk Register'!J:J,"High")</f>
        <v>0</v>
      </c>
    </row>
    <row r="21" spans="1:3" x14ac:dyDescent="0.35">
      <c r="A21" s="3" t="s">
        <v>33</v>
      </c>
      <c r="B21" s="3">
        <f>COUNTIF('Risk Register'!J:J,"Medium")</f>
        <v>0</v>
      </c>
    </row>
    <row r="22" spans="1:3" x14ac:dyDescent="0.35">
      <c r="A22" s="3" t="s">
        <v>38</v>
      </c>
      <c r="B22" s="3">
        <f>COUNTIF('Risk Register'!J:J,"Low")</f>
        <v>0</v>
      </c>
    </row>
    <row r="24" spans="1:3" x14ac:dyDescent="0.35">
      <c r="A24" t="s">
        <v>70</v>
      </c>
    </row>
    <row r="25" spans="1:3" x14ac:dyDescent="0.35">
      <c r="A25" s="4" t="s">
        <v>72</v>
      </c>
      <c r="B25" s="4" t="s">
        <v>73</v>
      </c>
    </row>
    <row r="26" spans="1:3" ht="43.5" x14ac:dyDescent="0.35">
      <c r="A26" s="3" t="s">
        <v>74</v>
      </c>
      <c r="B26" s="3">
        <f>AVERAGE('Risk Register'!H:H)</f>
        <v>1</v>
      </c>
    </row>
    <row r="27" spans="1:3" ht="43.5" x14ac:dyDescent="0.35">
      <c r="A27" s="3" t="s">
        <v>75</v>
      </c>
      <c r="B27" s="3">
        <f>AVERAGE('Risk Register'!R:R)</f>
        <v>1</v>
      </c>
    </row>
    <row r="30" spans="1:3" x14ac:dyDescent="0.35">
      <c r="A30" t="s">
        <v>79</v>
      </c>
    </row>
    <row r="31" spans="1:3" x14ac:dyDescent="0.35">
      <c r="A31" s="4" t="s">
        <v>76</v>
      </c>
      <c r="B31" s="4" t="s">
        <v>77</v>
      </c>
      <c r="C31" s="4" t="s">
        <v>78</v>
      </c>
    </row>
    <row r="32" spans="1:3" x14ac:dyDescent="0.35">
      <c r="A32" s="3" t="s">
        <v>28</v>
      </c>
      <c r="B32" s="3">
        <f>COUNTIF('Risk Register'!H:H,"High")</f>
        <v>0</v>
      </c>
      <c r="C32" s="3">
        <f>COUNTIF('Risk Register'!R:R,"High")</f>
        <v>0</v>
      </c>
    </row>
    <row r="33" spans="1:3" x14ac:dyDescent="0.35">
      <c r="A33" s="3" t="s">
        <v>33</v>
      </c>
      <c r="B33" s="3"/>
      <c r="C33" s="3"/>
    </row>
    <row r="34" spans="1:3" x14ac:dyDescent="0.35">
      <c r="A34" s="3" t="s">
        <v>38</v>
      </c>
      <c r="B34" s="3"/>
      <c r="C3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showGridLines="0" workbookViewId="0">
      <selection activeCell="I1" sqref="I1"/>
    </sheetView>
  </sheetViews>
  <sheetFormatPr defaultRowHeight="14.5" x14ac:dyDescent="0.35"/>
  <cols>
    <col min="1" max="1" width="6.453125" bestFit="1" customWidth="1"/>
    <col min="2" max="2" width="5.36328125" bestFit="1" customWidth="1"/>
    <col min="3" max="3" width="11.453125" bestFit="1" customWidth="1"/>
    <col min="4" max="4" width="6.36328125" bestFit="1" customWidth="1"/>
    <col min="5" max="5" width="11.453125" bestFit="1" customWidth="1"/>
    <col min="6" max="6" width="11" bestFit="1" customWidth="1"/>
    <col min="7" max="7" width="13.81640625" bestFit="1" customWidth="1"/>
    <col min="8" max="8" width="17.08984375" bestFit="1" customWidth="1"/>
    <col min="9" max="9" width="8.81640625" bestFit="1" customWidth="1"/>
    <col min="10" max="10" width="14.81640625" bestFit="1" customWidth="1"/>
    <col min="11" max="11" width="27.1796875" bestFit="1" customWidth="1"/>
    <col min="12" max="12" width="20" bestFit="1" customWidth="1"/>
    <col min="13" max="13" width="16.453125" bestFit="1" customWidth="1"/>
    <col min="14" max="14" width="10.26953125" bestFit="1" customWidth="1"/>
    <col min="15" max="15" width="10.6328125" bestFit="1" customWidth="1"/>
    <col min="16" max="16" width="18.6328125" bestFit="1" customWidth="1"/>
    <col min="17" max="17" width="21.453125" bestFit="1" customWidth="1"/>
    <col min="18" max="18" width="16.7265625" bestFit="1" customWidth="1"/>
    <col min="19" max="19" width="16.36328125" bestFit="1" customWidth="1"/>
    <col min="20" max="20" width="6.08984375" bestFit="1" customWidth="1"/>
  </cols>
  <sheetData>
    <row r="1" spans="1:21" s="1" customFormat="1" ht="2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4" t="s">
        <v>19</v>
      </c>
      <c r="U1" s="4" t="s">
        <v>56</v>
      </c>
    </row>
    <row r="2" spans="1:21" x14ac:dyDescent="0.35">
      <c r="A2" s="2">
        <v>1</v>
      </c>
      <c r="B2" s="2"/>
      <c r="C2" s="2"/>
      <c r="D2" s="2"/>
      <c r="E2" s="2"/>
      <c r="F2" s="2">
        <v>1</v>
      </c>
      <c r="G2" s="2">
        <v>1</v>
      </c>
      <c r="H2" s="2">
        <f>F2*G2</f>
        <v>1</v>
      </c>
      <c r="I2" s="2" t="str">
        <f>IF(H2&gt;=15,"High",IF(H2&gt;=8,"Medium","Low"))</f>
        <v>Low</v>
      </c>
      <c r="J2" s="2"/>
      <c r="K2" s="2"/>
      <c r="L2" s="2"/>
      <c r="M2" s="2"/>
      <c r="N2" s="2"/>
      <c r="O2" s="2"/>
      <c r="P2" s="2">
        <v>1</v>
      </c>
      <c r="Q2" s="2">
        <v>1</v>
      </c>
      <c r="R2" s="2">
        <f>P2*Q2</f>
        <v>1</v>
      </c>
      <c r="S2" s="2" t="str">
        <f>IF(R2&gt;=15,"High",IF(R2&gt;=8,"Medium","Low"))</f>
        <v>Low</v>
      </c>
      <c r="T2" s="2"/>
      <c r="U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7AFE-6860-48A9-95BC-2D5CC7BDC14E}">
  <dimension ref="A1:K4"/>
  <sheetViews>
    <sheetView showGridLines="0" workbookViewId="0"/>
  </sheetViews>
  <sheetFormatPr defaultRowHeight="14.5" x14ac:dyDescent="0.35"/>
  <cols>
    <col min="2" max="4" width="13.90625" customWidth="1"/>
    <col min="5" max="5" width="9.90625" customWidth="1"/>
    <col min="6" max="6" width="14.54296875" customWidth="1"/>
    <col min="8" max="8" width="12.54296875" customWidth="1"/>
    <col min="11" max="11" width="11.7265625" customWidth="1"/>
  </cols>
  <sheetData>
    <row r="1" spans="1:11" ht="43.5" x14ac:dyDescent="0.35">
      <c r="A1" s="4" t="s">
        <v>0</v>
      </c>
      <c r="B1" s="4" t="s">
        <v>1</v>
      </c>
      <c r="C1" s="4" t="s">
        <v>2</v>
      </c>
      <c r="D1" s="4" t="s">
        <v>59</v>
      </c>
      <c r="E1" s="4" t="s">
        <v>3</v>
      </c>
      <c r="F1" s="4" t="s">
        <v>4</v>
      </c>
      <c r="G1" s="4" t="s">
        <v>20</v>
      </c>
      <c r="H1" s="4" t="s">
        <v>21</v>
      </c>
      <c r="I1" s="4" t="s">
        <v>22</v>
      </c>
      <c r="J1" s="4" t="s">
        <v>23</v>
      </c>
      <c r="K1" s="5" t="s">
        <v>11</v>
      </c>
    </row>
    <row r="2" spans="1:11" ht="29" x14ac:dyDescent="0.35">
      <c r="A2" s="8" t="s">
        <v>24</v>
      </c>
      <c r="B2" s="8" t="s">
        <v>25</v>
      </c>
      <c r="C2" s="3" t="s">
        <v>60</v>
      </c>
      <c r="D2" s="3" t="s">
        <v>61</v>
      </c>
      <c r="E2" s="8" t="s">
        <v>26</v>
      </c>
      <c r="F2" s="8" t="s">
        <v>27</v>
      </c>
      <c r="G2" s="8">
        <v>5</v>
      </c>
      <c r="H2" s="8">
        <v>4</v>
      </c>
      <c r="I2" s="8">
        <v>20</v>
      </c>
      <c r="J2" s="8" t="s">
        <v>28</v>
      </c>
      <c r="K2" s="9" t="s">
        <v>39</v>
      </c>
    </row>
    <row r="3" spans="1:11" ht="29" x14ac:dyDescent="0.35">
      <c r="A3" s="8" t="s">
        <v>29</v>
      </c>
      <c r="B3" s="8" t="s">
        <v>30</v>
      </c>
      <c r="C3" s="3" t="s">
        <v>62</v>
      </c>
      <c r="D3" s="3" t="s">
        <v>63</v>
      </c>
      <c r="E3" s="8" t="s">
        <v>31</v>
      </c>
      <c r="F3" s="8" t="s">
        <v>32</v>
      </c>
      <c r="G3" s="8">
        <v>4</v>
      </c>
      <c r="H3" s="8">
        <v>3</v>
      </c>
      <c r="I3" s="8">
        <v>12</v>
      </c>
      <c r="J3" s="8" t="s">
        <v>33</v>
      </c>
      <c r="K3" s="9" t="s">
        <v>39</v>
      </c>
    </row>
    <row r="4" spans="1:11" ht="29" x14ac:dyDescent="0.35">
      <c r="A4" s="8" t="s">
        <v>34</v>
      </c>
      <c r="B4" s="8" t="s">
        <v>35</v>
      </c>
      <c r="C4" s="3" t="s">
        <v>64</v>
      </c>
      <c r="D4" s="3" t="s">
        <v>61</v>
      </c>
      <c r="E4" s="8" t="s">
        <v>36</v>
      </c>
      <c r="F4" s="8" t="s">
        <v>37</v>
      </c>
      <c r="G4" s="8">
        <v>2</v>
      </c>
      <c r="H4" s="8">
        <v>2</v>
      </c>
      <c r="I4" s="8">
        <v>4</v>
      </c>
      <c r="J4" s="8" t="s">
        <v>38</v>
      </c>
      <c r="K4" s="9" t="s">
        <v>57</v>
      </c>
    </row>
  </sheetData>
  <dataValidations count="1">
    <dataValidation type="list" allowBlank="1" showInputMessage="1" showErrorMessage="1" sqref="K2:K4" xr:uid="{B5A811AB-0815-46D8-A9C2-C8178FFCF2BD}">
      <formula1>"Reduce,Avoid,Transfer,Accept"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Scoring board</vt:lpstr>
      <vt:lpstr>Risk Register</vt:lpstr>
      <vt:lpstr>Risk Treatment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Devanath R</dc:creator>
  <cp:lastModifiedBy>Devanath R</cp:lastModifiedBy>
  <dcterms:created xsi:type="dcterms:W3CDTF">2015-06-05T18:17:20Z</dcterms:created>
  <dcterms:modified xsi:type="dcterms:W3CDTF">2026-02-17T09:18:58Z</dcterms:modified>
</cp:coreProperties>
</file>