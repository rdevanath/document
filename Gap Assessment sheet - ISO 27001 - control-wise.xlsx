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rdeva\Downloads\"/>
    </mc:Choice>
  </mc:AlternateContent>
  <xr:revisionPtr revIDLastSave="0" documentId="13_ncr:1_{E5BAF89D-367E-4C41-B055-8A72E3BCE0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dex" sheetId="10" r:id="rId1"/>
    <sheet name="Scope" sheetId="1" r:id="rId2"/>
    <sheet name="Gap Assessment" sheetId="2" state="hidden" r:id="rId3"/>
    <sheet name="Scoring &amp; Lists" sheetId="11" state="hidden" r:id="rId4"/>
    <sheet name="Controls" sheetId="3" r:id="rId5"/>
    <sheet name="Gap Summary" sheetId="4" r:id="rId6"/>
    <sheet name="Management Dashboard" sheetId="1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2" l="1"/>
  <c r="B5" i="12"/>
  <c r="B4" i="12"/>
  <c r="J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Deva R</author>
  </authors>
  <commentList>
    <comment ref="E48" authorId="0" shapeId="0" xr:uid="{C7107E9F-6E24-46F0-AB7D-949F4B6994BC}">
      <text>
        <r>
          <rPr>
            <sz val="9"/>
            <color indexed="81"/>
            <rFont val="Tahoma"/>
            <family val="2"/>
          </rPr>
          <t>Physical security managed by cloud provider (AWS/GCP/Azure)</t>
        </r>
      </text>
    </comment>
  </commentList>
</comments>
</file>

<file path=xl/sharedStrings.xml><?xml version="1.0" encoding="utf-8"?>
<sst xmlns="http://schemas.openxmlformats.org/spreadsheetml/2006/main" count="552" uniqueCount="362">
  <si>
    <t>Field</t>
  </si>
  <si>
    <t>Details</t>
  </si>
  <si>
    <t>Organization Name</t>
  </si>
  <si>
    <t>ISMS Scope</t>
  </si>
  <si>
    <t>Locations Covered</t>
  </si>
  <si>
    <t>Business Units</t>
  </si>
  <si>
    <t>Assessment Type</t>
  </si>
  <si>
    <t>Initial / Surveillance / Transition</t>
  </si>
  <si>
    <t>ISO Standard</t>
  </si>
  <si>
    <t>ISO/IEC 27001:2022</t>
  </si>
  <si>
    <t>Assessment Date</t>
  </si>
  <si>
    <t>Assessor</t>
  </si>
  <si>
    <t>Version</t>
  </si>
  <si>
    <t>v1.0</t>
  </si>
  <si>
    <t>Applicability</t>
  </si>
  <si>
    <t>Current Implementation</t>
  </si>
  <si>
    <t>Compliance Status</t>
  </si>
  <si>
    <t>Gap Description</t>
  </si>
  <si>
    <t>Risk Level</t>
  </si>
  <si>
    <t>Recommended Action</t>
  </si>
  <si>
    <t>Owner</t>
  </si>
  <si>
    <t>Target Date</t>
  </si>
  <si>
    <t>Status</t>
  </si>
  <si>
    <t>ISMS Lead</t>
  </si>
  <si>
    <t>Open</t>
  </si>
  <si>
    <t>6.1.2</t>
  </si>
  <si>
    <t>Risk Owner</t>
  </si>
  <si>
    <t>Control ID</t>
  </si>
  <si>
    <t>Control Name</t>
  </si>
  <si>
    <t>Control Description</t>
  </si>
  <si>
    <t>Justification</t>
  </si>
  <si>
    <t>Action</t>
  </si>
  <si>
    <t>Target</t>
  </si>
  <si>
    <t>A.5.1</t>
  </si>
  <si>
    <t>Policies for information security</t>
  </si>
  <si>
    <t>A.5.23</t>
  </si>
  <si>
    <t>Gap ID</t>
  </si>
  <si>
    <t>Clause / Control</t>
  </si>
  <si>
    <t>GAP-01</t>
  </si>
  <si>
    <t>No risk assessment methodology</t>
  </si>
  <si>
    <t>High</t>
  </si>
  <si>
    <t>Create risk procedure</t>
  </si>
  <si>
    <t>GAP-02</t>
  </si>
  <si>
    <t>A.8.12</t>
  </si>
  <si>
    <t>DLP not implemented</t>
  </si>
  <si>
    <t>Deploy DLP solution</t>
  </si>
  <si>
    <t>IT Security</t>
  </si>
  <si>
    <t>Information security policies shall be defined, approved, published and communicated</t>
  </si>
  <si>
    <t>A.5.2</t>
  </si>
  <si>
    <t>Information security roles and responsibilities</t>
  </si>
  <si>
    <t>Information security roles and responsibilities shall be defined and allocated</t>
  </si>
  <si>
    <t>A.5.3</t>
  </si>
  <si>
    <t>Segregation of duties</t>
  </si>
  <si>
    <t>Conflicting duties and responsibilities shall be segregated</t>
  </si>
  <si>
    <t>A.5.4</t>
  </si>
  <si>
    <t>Management responsibilities</t>
  </si>
  <si>
    <t>Management shall require information security to be applied</t>
  </si>
  <si>
    <t>A.5.5</t>
  </si>
  <si>
    <t>Contact with authorities</t>
  </si>
  <si>
    <t>Appropriate contacts with authorities shall be maintained</t>
  </si>
  <si>
    <t>A.5.6</t>
  </si>
  <si>
    <t>Contact with special interest groups</t>
  </si>
  <si>
    <t>Appropriate contacts with special interest groups shall be maintained</t>
  </si>
  <si>
    <t>A.5.7</t>
  </si>
  <si>
    <t>Threat intelligence</t>
  </si>
  <si>
    <t>Information relating to information security threats shall be collected and analyzed</t>
  </si>
  <si>
    <t>A.5.8</t>
  </si>
  <si>
    <t>Information security in project management</t>
  </si>
  <si>
    <t>Information security shall be integrated into project management</t>
  </si>
  <si>
    <t>A.5.9</t>
  </si>
  <si>
    <t>Inventory of information and other associated assets</t>
  </si>
  <si>
    <t>Information and assets shall be inventoried</t>
  </si>
  <si>
    <t>A.5.10</t>
  </si>
  <si>
    <t>Acceptable use of information and assets</t>
  </si>
  <si>
    <t>Rules for acceptable use shall be identified</t>
  </si>
  <si>
    <t>A.5.11</t>
  </si>
  <si>
    <t>Return of assets</t>
  </si>
  <si>
    <t>Assets shall be returned upon termination or change of employment</t>
  </si>
  <si>
    <t>A.5.12</t>
  </si>
  <si>
    <t>Classification of information</t>
  </si>
  <si>
    <t>Information shall be classified according to value and sensitivity</t>
  </si>
  <si>
    <t>A.5.13</t>
  </si>
  <si>
    <t>Labelling of information</t>
  </si>
  <si>
    <t>Information shall be labelled appropriately</t>
  </si>
  <si>
    <t>A.5.14</t>
  </si>
  <si>
    <t>Information transfer</t>
  </si>
  <si>
    <t>Information transfer rules shall be established</t>
  </si>
  <si>
    <t>A.5.15</t>
  </si>
  <si>
    <t>Access control</t>
  </si>
  <si>
    <t>Rules to control access to information shall be established</t>
  </si>
  <si>
    <t>A.5.16</t>
  </si>
  <si>
    <t>Identity management</t>
  </si>
  <si>
    <t>Identities shall be managed throughout lifecycle</t>
  </si>
  <si>
    <t>A.5.17</t>
  </si>
  <si>
    <t>Authentication information</t>
  </si>
  <si>
    <t>Authentication information shall be protected</t>
  </si>
  <si>
    <t>A.5.18</t>
  </si>
  <si>
    <t>Access rights</t>
  </si>
  <si>
    <t>Access rights shall be provisioned, reviewed and removed</t>
  </si>
  <si>
    <t>A.5.19</t>
  </si>
  <si>
    <t>Information security in supplier relationships</t>
  </si>
  <si>
    <t>Supplier access risks shall be managed</t>
  </si>
  <si>
    <t>A.5.20</t>
  </si>
  <si>
    <t>Addressing information security within supplier agreements</t>
  </si>
  <si>
    <t>Security requirements shall be included in agreements</t>
  </si>
  <si>
    <t>A.5.21</t>
  </si>
  <si>
    <t>Managing information security in the ICT supply chain</t>
  </si>
  <si>
    <t>ICT supply chain risks shall be managed</t>
  </si>
  <si>
    <t>A.5.22</t>
  </si>
  <si>
    <t>Monitoring, review and change management of supplier services</t>
  </si>
  <si>
    <t>Supplier services shall be monitored</t>
  </si>
  <si>
    <t>Information security for use of cloud services</t>
  </si>
  <si>
    <t>Cloud security responsibilities shall be defined</t>
  </si>
  <si>
    <t>A.5.24</t>
  </si>
  <si>
    <t>Information security incident management planning and preparation</t>
  </si>
  <si>
    <t>Incident management approach shall be planned</t>
  </si>
  <si>
    <t>A.5.25</t>
  </si>
  <si>
    <t>Assessment and decision on information security events</t>
  </si>
  <si>
    <t>Events shall be assessed</t>
  </si>
  <si>
    <t>A.5.26</t>
  </si>
  <si>
    <t>Response to information security incidents</t>
  </si>
  <si>
    <t>Incidents shall be responded to</t>
  </si>
  <si>
    <t>A.5.27</t>
  </si>
  <si>
    <t>Learning from information security incidents</t>
  </si>
  <si>
    <t>Lessons learned shall be recorded</t>
  </si>
  <si>
    <t>A.5.28</t>
  </si>
  <si>
    <t>Collection of evidence</t>
  </si>
  <si>
    <t>Evidence shall be collected appropriately</t>
  </si>
  <si>
    <t>A.5.29</t>
  </si>
  <si>
    <t>Information security during disruption</t>
  </si>
  <si>
    <t>Security shall be maintained during disruptions</t>
  </si>
  <si>
    <t>A.5.30</t>
  </si>
  <si>
    <t>ICT readiness for business continuity</t>
  </si>
  <si>
    <t>ICT continuity requirements shall be addressed</t>
  </si>
  <si>
    <t>A.5.31</t>
  </si>
  <si>
    <t>Legal, statutory, regulatory and contractual requirements</t>
  </si>
  <si>
    <t>Compliance obligations shall be identified</t>
  </si>
  <si>
    <t>A.5.32</t>
  </si>
  <si>
    <t>Intellectual property rights</t>
  </si>
  <si>
    <t>IPR shall be protected</t>
  </si>
  <si>
    <t>A.5.33</t>
  </si>
  <si>
    <t>Protection of records</t>
  </si>
  <si>
    <t>Records shall be protected</t>
  </si>
  <si>
    <t>A.5.34</t>
  </si>
  <si>
    <t>Privacy and protection of PII</t>
  </si>
  <si>
    <t>PII shall be protected</t>
  </si>
  <si>
    <t>A.5.35</t>
  </si>
  <si>
    <t>Independent review of information security</t>
  </si>
  <si>
    <t>Information security shall be independently reviewed</t>
  </si>
  <si>
    <t>A.5.36</t>
  </si>
  <si>
    <t>Compliance with policies and standards</t>
  </si>
  <si>
    <t>Compliance shall be regularly reviewed</t>
  </si>
  <si>
    <t>A.5.37</t>
  </si>
  <si>
    <t>Documented operating procedures</t>
  </si>
  <si>
    <t>Operating procedures shall be documented</t>
  </si>
  <si>
    <t>A.6.1</t>
  </si>
  <si>
    <t>Screening</t>
  </si>
  <si>
    <t>Background verification shall be performed</t>
  </si>
  <si>
    <t>A.6.2</t>
  </si>
  <si>
    <t>Terms and conditions of employment</t>
  </si>
  <si>
    <t>Security responsibilities shall be defined</t>
  </si>
  <si>
    <t>A.6.3</t>
  </si>
  <si>
    <t>Information security awareness, education and training</t>
  </si>
  <si>
    <t>Personnel shall receive training</t>
  </si>
  <si>
    <t>A.6.4</t>
  </si>
  <si>
    <t>Disciplinary process</t>
  </si>
  <si>
    <t>Disciplinary process shall exist</t>
  </si>
  <si>
    <t>A.6.5</t>
  </si>
  <si>
    <t>Responsibilities after termination or change</t>
  </si>
  <si>
    <t>Responsibilities shall continue after termination</t>
  </si>
  <si>
    <t>A.6.6</t>
  </si>
  <si>
    <t>Confidentiality or non-disclosure agreements</t>
  </si>
  <si>
    <t>Confidentiality obligations shall be enforced</t>
  </si>
  <si>
    <t>A.6.7</t>
  </si>
  <si>
    <t>Remote working</t>
  </si>
  <si>
    <t>Security for remote working shall be implemented</t>
  </si>
  <si>
    <t>A.6.8</t>
  </si>
  <si>
    <t>Information security event reporting</t>
  </si>
  <si>
    <t>Personnel shall report security events</t>
  </si>
  <si>
    <t>A.7 – Physical Controls (14)</t>
  </si>
  <si>
    <t>A.7.1</t>
  </si>
  <si>
    <t>Physical security perimeters</t>
  </si>
  <si>
    <t>Secure areas shall be defined</t>
  </si>
  <si>
    <t>A.7.2</t>
  </si>
  <si>
    <t>Physical entry controls</t>
  </si>
  <si>
    <t>Entry to secure areas shall be controlled</t>
  </si>
  <si>
    <t>A.7.3</t>
  </si>
  <si>
    <t>Securing offices, rooms and facilities</t>
  </si>
  <si>
    <t>Facilities shall be secured</t>
  </si>
  <si>
    <t>A.7.4</t>
  </si>
  <si>
    <t>Physical security monitoring</t>
  </si>
  <si>
    <t>Premises shall be monitored</t>
  </si>
  <si>
    <t>A.7.5</t>
  </si>
  <si>
    <t>Protecting against physical and environmental threats</t>
  </si>
  <si>
    <t>Protection against threats shall be implemented</t>
  </si>
  <si>
    <t>A.7.6</t>
  </si>
  <si>
    <t>Working in secure areas</t>
  </si>
  <si>
    <t>Security rules for secure areas shall be applied</t>
  </si>
  <si>
    <t>A.7.7</t>
  </si>
  <si>
    <t>Clear desk and clear screen</t>
  </si>
  <si>
    <t>Information shall not be left unattended</t>
  </si>
  <si>
    <t>A.7.8</t>
  </si>
  <si>
    <t>Equipment siting and protection</t>
  </si>
  <si>
    <t>Equipment shall be protected</t>
  </si>
  <si>
    <t>A.7.9</t>
  </si>
  <si>
    <t>Security of assets off-premises</t>
  </si>
  <si>
    <t>Off-site assets shall be protected</t>
  </si>
  <si>
    <t>A.7.10</t>
  </si>
  <si>
    <t>Storage media</t>
  </si>
  <si>
    <t>Storage media shall be managed securely</t>
  </si>
  <si>
    <t>A.7.11</t>
  </si>
  <si>
    <t>Supporting utilities</t>
  </si>
  <si>
    <t>Utilities shall be protected</t>
  </si>
  <si>
    <t>A.7.12</t>
  </si>
  <si>
    <t>Cabling security</t>
  </si>
  <si>
    <t>Cabling shall be protected</t>
  </si>
  <si>
    <t>A.7.13</t>
  </si>
  <si>
    <t>Equipment maintenance</t>
  </si>
  <si>
    <t>Equipment shall be maintained</t>
  </si>
  <si>
    <t>A.7.14</t>
  </si>
  <si>
    <t>Secure disposal or reuse of equipment</t>
  </si>
  <si>
    <t>Equipment shall be disposed securely</t>
  </si>
  <si>
    <t>A.8.1</t>
  </si>
  <si>
    <t>User endpoint devices</t>
  </si>
  <si>
    <t>Endpoint devices shall be secured</t>
  </si>
  <si>
    <t>A.8.2</t>
  </si>
  <si>
    <t>Privileged access rights</t>
  </si>
  <si>
    <t>Privileged access shall be restricted</t>
  </si>
  <si>
    <t>A.8.3</t>
  </si>
  <si>
    <t>Information access restriction</t>
  </si>
  <si>
    <t>Access to information shall be restricted</t>
  </si>
  <si>
    <t>A.8.4</t>
  </si>
  <si>
    <t>Access to source code</t>
  </si>
  <si>
    <t>Source code access shall be controlled</t>
  </si>
  <si>
    <t>A.8.5</t>
  </si>
  <si>
    <t>Secure authentication</t>
  </si>
  <si>
    <t>Strong authentication shall be implemented</t>
  </si>
  <si>
    <t>A.8.6</t>
  </si>
  <si>
    <t>Capacity management</t>
  </si>
  <si>
    <t>Resources shall be monitored</t>
  </si>
  <si>
    <t>A.8.7</t>
  </si>
  <si>
    <t>Protection against malware</t>
  </si>
  <si>
    <t>Malware protection shall be implemented</t>
  </si>
  <si>
    <t>A.8.8</t>
  </si>
  <si>
    <t>Management of technical vulnerabilities</t>
  </si>
  <si>
    <t>Vulnerabilities shall be managed</t>
  </si>
  <si>
    <t>A.8.9</t>
  </si>
  <si>
    <t>Configuration management</t>
  </si>
  <si>
    <t>Configurations shall be controlled</t>
  </si>
  <si>
    <t>A.8.10</t>
  </si>
  <si>
    <t>Information deletion</t>
  </si>
  <si>
    <t>Information shall be deleted securely</t>
  </si>
  <si>
    <t>A.8.11</t>
  </si>
  <si>
    <t>Data masking</t>
  </si>
  <si>
    <t>Data masking shall be used where appropriate</t>
  </si>
  <si>
    <t>Data leakage prevention</t>
  </si>
  <si>
    <t>DLP controls shall be implemented</t>
  </si>
  <si>
    <t>A.8.13</t>
  </si>
  <si>
    <t>Information backup</t>
  </si>
  <si>
    <t>Information shall be backed up</t>
  </si>
  <si>
    <t>A.8.14</t>
  </si>
  <si>
    <t>Redundancy of information processing facilities</t>
  </si>
  <si>
    <t>Redundancy shall be implemented</t>
  </si>
  <si>
    <t>A.8.15</t>
  </si>
  <si>
    <t>Logging</t>
  </si>
  <si>
    <t>Logs shall be produced</t>
  </si>
  <si>
    <t>A.8.16</t>
  </si>
  <si>
    <t>Monitoring activities</t>
  </si>
  <si>
    <t>Activities shall be monitored</t>
  </si>
  <si>
    <t>A.8.17</t>
  </si>
  <si>
    <t>Clock synchronization</t>
  </si>
  <si>
    <t>Clocks shall be synchronized</t>
  </si>
  <si>
    <t>A.8.18</t>
  </si>
  <si>
    <t>Use of privileged utility programs</t>
  </si>
  <si>
    <t>Utility programs shall be restricted</t>
  </si>
  <si>
    <t>A.8.19</t>
  </si>
  <si>
    <t>Installation of software on operational systems</t>
  </si>
  <si>
    <t>Software installation shall be controlled</t>
  </si>
  <si>
    <t>A.8.20</t>
  </si>
  <si>
    <t>Networks security</t>
  </si>
  <si>
    <t>Networks shall be secured</t>
  </si>
  <si>
    <t>A.8.21</t>
  </si>
  <si>
    <t>Security of network services</t>
  </si>
  <si>
    <t>Network services shall be secured</t>
  </si>
  <si>
    <t>A.8.22</t>
  </si>
  <si>
    <t>Segregation of networks</t>
  </si>
  <si>
    <t>Networks shall be segregated</t>
  </si>
  <si>
    <t>A.8.23</t>
  </si>
  <si>
    <t>Web filtering</t>
  </si>
  <si>
    <t>Web access shall be controlled</t>
  </si>
  <si>
    <t>A.8.24</t>
  </si>
  <si>
    <t>Use of cryptography</t>
  </si>
  <si>
    <t>Cryptography shall be used</t>
  </si>
  <si>
    <t>A.8.25</t>
  </si>
  <si>
    <t>Secure development lifecycle</t>
  </si>
  <si>
    <t>Secure development shall be followed</t>
  </si>
  <si>
    <t>A.8.26</t>
  </si>
  <si>
    <t>Application security requirements</t>
  </si>
  <si>
    <t>Security requirements shall be defined</t>
  </si>
  <si>
    <t>A.8.27</t>
  </si>
  <si>
    <t>Secure system architecture and engineering</t>
  </si>
  <si>
    <t>Systems shall be securely designed</t>
  </si>
  <si>
    <t>A.8.28</t>
  </si>
  <si>
    <t>Secure coding</t>
  </si>
  <si>
    <t>Secure coding practices shall be applied</t>
  </si>
  <si>
    <t>A.8.29</t>
  </si>
  <si>
    <t>Security testing in development</t>
  </si>
  <si>
    <t>Security testing shall be performed</t>
  </si>
  <si>
    <t>A.8.30</t>
  </si>
  <si>
    <t>Outsourced development</t>
  </si>
  <si>
    <t>Outsourced development shall be controlled</t>
  </si>
  <si>
    <t>A.8.31</t>
  </si>
  <si>
    <t>Separation of development, test and production</t>
  </si>
  <si>
    <t>Environments shall be separated</t>
  </si>
  <si>
    <t>A.8.32</t>
  </si>
  <si>
    <t>Change management</t>
  </si>
  <si>
    <t>Changes shall be controlled</t>
  </si>
  <si>
    <t>A.8.33</t>
  </si>
  <si>
    <t>Test information</t>
  </si>
  <si>
    <t>Test data shall be protected</t>
  </si>
  <si>
    <t>A.8.34</t>
  </si>
  <si>
    <t>Protection of information systems during audit</t>
  </si>
  <si>
    <t>Audit tools shall be controlled</t>
  </si>
  <si>
    <t>Score</t>
  </si>
  <si>
    <t>Partially Implemented</t>
  </si>
  <si>
    <t>Not Implemented</t>
  </si>
  <si>
    <t>Cloud / SaaS Applicability (Suggested)</t>
  </si>
  <si>
    <t>Yes</t>
  </si>
  <si>
    <t>Conditional</t>
  </si>
  <si>
    <t>Overview &amp; Scope</t>
  </si>
  <si>
    <t>4. Annex A Gap Assessment Sheets (ISO 27001:2022)</t>
  </si>
  <si>
    <t>Applicable</t>
  </si>
  <si>
    <t>A.5 – Organizational Controls</t>
  </si>
  <si>
    <t>A.8 – Technological Controls</t>
  </si>
  <si>
    <t>A.6 – People Controls</t>
  </si>
  <si>
    <t>Implemented</t>
  </si>
  <si>
    <t>A. KPI cells (top of dashboard)</t>
  </si>
  <si>
    <t>Overall Compliance %</t>
  </si>
  <si>
    <t>High-Risk Open Gaps</t>
  </si>
  <si>
    <t>Controls Not Implemented</t>
  </si>
  <si>
    <r>
      <t>Donut chart</t>
    </r>
    <r>
      <rPr>
        <sz val="11"/>
        <color theme="1"/>
        <rFont val="Calibri"/>
        <family val="2"/>
        <scheme val="minor"/>
      </rPr>
      <t xml:space="preserve"> → Overall compliance %</t>
    </r>
  </si>
  <si>
    <r>
      <t>Bar chart</t>
    </r>
    <r>
      <rPr>
        <sz val="11"/>
        <color theme="1"/>
        <rFont val="Calibri"/>
        <family val="2"/>
        <scheme val="minor"/>
      </rPr>
      <t xml:space="preserve"> → Gaps by risk level</t>
    </r>
  </si>
  <si>
    <r>
      <t>Stacked bar</t>
    </r>
    <r>
      <rPr>
        <sz val="11"/>
        <color theme="1"/>
        <rFont val="Calibri"/>
        <family val="2"/>
        <scheme val="minor"/>
      </rPr>
      <t xml:space="preserve"> → F / P / N per Annex A category</t>
    </r>
  </si>
  <si>
    <t>B. Charts</t>
  </si>
  <si>
    <t>Sheet 2</t>
  </si>
  <si>
    <t>Refer - Gap Assessment sheet - ISO 27001 - Exec version</t>
  </si>
  <si>
    <t>Sheet 3</t>
  </si>
  <si>
    <t>Gap Assessment - Clauses 4–10 Gap Assessment</t>
  </si>
  <si>
    <t>Sheet 4</t>
  </si>
  <si>
    <t>Controls - Annex A – Organizational, People Controls, Physical &amp; Technological</t>
  </si>
  <si>
    <t>Control Group</t>
  </si>
  <si>
    <t>Gap Summary</t>
  </si>
  <si>
    <t>6. Management Dashboard</t>
  </si>
  <si>
    <t>Management Dashboard</t>
  </si>
  <si>
    <t>Sheet 5</t>
  </si>
  <si>
    <t>Sheet 6</t>
  </si>
  <si>
    <t>5. Annex A Gap Assessment Sheets (ISO 27001:2022)</t>
  </si>
  <si>
    <t>3. Clauses 4–10 Gap Assessment</t>
  </si>
  <si>
    <t>2. Overview &amp; Scope</t>
  </si>
  <si>
    <t>1. Workbook structure</t>
  </si>
  <si>
    <t>prepared by</t>
  </si>
  <si>
    <t>Devanath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</si>
</sst>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15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0" fillId="2" borderId="1" xfId="0" applyFill="1" applyBorder="1"/>
    <xf numFmtId="0" fontId="7" fillId="0" borderId="0" xfId="1"/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in/rdevanath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5260F-8CC7-4186-B067-14F358C0ECCC}">
  <dimension ref="A1:C9"/>
  <sheetViews>
    <sheetView showGridLines="0" tabSelected="1" workbookViewId="0"/>
  </sheetViews>
  <sheetFormatPr defaultRowHeight="14.5" x14ac:dyDescent="0.35"/>
  <cols>
    <col min="2" max="2" width="29.81640625" bestFit="1" customWidth="1"/>
  </cols>
  <sheetData>
    <row r="1" spans="1:3" ht="23.5" x14ac:dyDescent="0.35">
      <c r="A1" s="9" t="s">
        <v>359</v>
      </c>
    </row>
    <row r="2" spans="1:3" x14ac:dyDescent="0.35">
      <c r="A2" t="s">
        <v>344</v>
      </c>
      <c r="B2" s="5" t="s">
        <v>329</v>
      </c>
    </row>
    <row r="3" spans="1:3" x14ac:dyDescent="0.35">
      <c r="A3" t="s">
        <v>346</v>
      </c>
      <c r="B3" s="5" t="s">
        <v>347</v>
      </c>
    </row>
    <row r="4" spans="1:3" x14ac:dyDescent="0.35">
      <c r="A4" t="s">
        <v>348</v>
      </c>
      <c r="B4" s="5" t="s">
        <v>349</v>
      </c>
    </row>
    <row r="5" spans="1:3" x14ac:dyDescent="0.35">
      <c r="A5" t="s">
        <v>354</v>
      </c>
      <c r="B5" s="5" t="s">
        <v>351</v>
      </c>
    </row>
    <row r="6" spans="1:3" x14ac:dyDescent="0.35">
      <c r="A6" t="s">
        <v>355</v>
      </c>
      <c r="B6" s="5" t="s">
        <v>353</v>
      </c>
    </row>
    <row r="9" spans="1:3" x14ac:dyDescent="0.35">
      <c r="B9" s="22" t="s">
        <v>360</v>
      </c>
      <c r="C9" s="21" t="s">
        <v>361</v>
      </c>
    </row>
  </sheetData>
  <hyperlinks>
    <hyperlink ref="C9" r:id="rId1" xr:uid="{C0E1985D-4695-47F2-8CFE-DAA7E8D297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showGridLines="0" workbookViewId="0"/>
  </sheetViews>
  <sheetFormatPr defaultRowHeight="14.5" x14ac:dyDescent="0.35"/>
  <cols>
    <col min="1" max="1" width="18.36328125" customWidth="1"/>
    <col min="2" max="2" width="19.81640625" customWidth="1"/>
  </cols>
  <sheetData>
    <row r="1" spans="1:9" ht="23.5" x14ac:dyDescent="0.35">
      <c r="A1" s="9" t="s">
        <v>358</v>
      </c>
    </row>
    <row r="2" spans="1:9" x14ac:dyDescent="0.35">
      <c r="A2" s="10" t="s">
        <v>0</v>
      </c>
      <c r="B2" s="10" t="s">
        <v>1</v>
      </c>
    </row>
    <row r="3" spans="1:9" x14ac:dyDescent="0.35">
      <c r="A3" s="11" t="s">
        <v>2</v>
      </c>
      <c r="B3" s="11"/>
      <c r="H3" s="1"/>
      <c r="I3" s="1"/>
    </row>
    <row r="4" spans="1:9" x14ac:dyDescent="0.35">
      <c r="A4" s="11" t="s">
        <v>3</v>
      </c>
      <c r="B4" s="11"/>
      <c r="H4" s="2"/>
      <c r="I4" s="2"/>
    </row>
    <row r="5" spans="1:9" x14ac:dyDescent="0.35">
      <c r="A5" s="11" t="s">
        <v>4</v>
      </c>
      <c r="B5" s="11"/>
      <c r="H5" s="2"/>
      <c r="I5" s="2"/>
    </row>
    <row r="6" spans="1:9" x14ac:dyDescent="0.35">
      <c r="A6" s="11" t="s">
        <v>5</v>
      </c>
      <c r="B6" s="11"/>
      <c r="H6" s="2"/>
      <c r="I6" s="2"/>
    </row>
    <row r="7" spans="1:9" ht="29" x14ac:dyDescent="0.35">
      <c r="A7" s="11" t="s">
        <v>6</v>
      </c>
      <c r="B7" s="11" t="s">
        <v>7</v>
      </c>
    </row>
    <row r="8" spans="1:9" ht="43.5" x14ac:dyDescent="0.35">
      <c r="A8" s="11" t="s">
        <v>8</v>
      </c>
      <c r="B8" s="11" t="s">
        <v>9</v>
      </c>
    </row>
    <row r="9" spans="1:9" x14ac:dyDescent="0.35">
      <c r="A9" s="11" t="s">
        <v>10</v>
      </c>
      <c r="B9" s="11"/>
    </row>
    <row r="10" spans="1:9" x14ac:dyDescent="0.35">
      <c r="A10" s="11" t="s">
        <v>11</v>
      </c>
      <c r="B10" s="11"/>
    </row>
    <row r="11" spans="1:9" x14ac:dyDescent="0.35">
      <c r="A11" s="11" t="s">
        <v>12</v>
      </c>
      <c r="B11" s="1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3442C-ABB6-4A0D-8D15-D92577A820C3}">
  <dimension ref="A1:M12"/>
  <sheetViews>
    <sheetView showGridLines="0" workbookViewId="0">
      <selection activeCell="B20" sqref="B20"/>
    </sheetView>
  </sheetViews>
  <sheetFormatPr defaultRowHeight="14.5" x14ac:dyDescent="0.35"/>
  <cols>
    <col min="1" max="1" width="49.36328125" customWidth="1"/>
    <col min="2" max="2" width="16.26953125" customWidth="1"/>
    <col min="3" max="3" width="13.453125" customWidth="1"/>
    <col min="4" max="4" width="10.90625" customWidth="1"/>
    <col min="5" max="5" width="15.81640625" customWidth="1"/>
    <col min="6" max="6" width="11" customWidth="1"/>
    <col min="7" max="7" width="12.81640625" customWidth="1"/>
    <col min="8" max="8" width="13.54296875" customWidth="1"/>
    <col min="9" max="9" width="10.7265625" customWidth="1"/>
    <col min="10" max="10" width="17.36328125" customWidth="1"/>
    <col min="12" max="12" width="9.54296875" bestFit="1" customWidth="1"/>
    <col min="13" max="13" width="8" customWidth="1"/>
  </cols>
  <sheetData>
    <row r="1" spans="1:13" ht="23.5" x14ac:dyDescent="0.35">
      <c r="A1" s="9" t="s">
        <v>357</v>
      </c>
    </row>
    <row r="2" spans="1:13" x14ac:dyDescent="0.35">
      <c r="A2" s="1" t="s">
        <v>345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2"/>
    </row>
    <row r="4" spans="1:13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3"/>
      <c r="M5" s="2"/>
    </row>
    <row r="7" spans="1:13" x14ac:dyDescent="0.35">
      <c r="C7" s="5"/>
    </row>
    <row r="8" spans="1:13" x14ac:dyDescent="0.35">
      <c r="C8" s="8"/>
    </row>
    <row r="9" spans="1:13" x14ac:dyDescent="0.35">
      <c r="C9" s="7"/>
    </row>
    <row r="10" spans="1:13" x14ac:dyDescent="0.35">
      <c r="C10" s="8"/>
    </row>
    <row r="11" spans="1:13" x14ac:dyDescent="0.35">
      <c r="C11" s="7"/>
    </row>
    <row r="12" spans="1:13" x14ac:dyDescent="0.35">
      <c r="C12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9D4F6-6856-4D7B-B852-23E2828FBA4D}">
  <dimension ref="A1:B3"/>
  <sheetViews>
    <sheetView workbookViewId="0">
      <selection activeCell="B8" sqref="B8"/>
    </sheetView>
  </sheetViews>
  <sheetFormatPr defaultRowHeight="14.5" x14ac:dyDescent="0.35"/>
  <cols>
    <col min="1" max="1" width="21.7265625" customWidth="1"/>
    <col min="2" max="2" width="22.08984375" customWidth="1"/>
    <col min="3" max="3" width="13.54296875" customWidth="1"/>
    <col min="5" max="5" width="41.7265625" bestFit="1" customWidth="1"/>
  </cols>
  <sheetData>
    <row r="1" spans="1:2" x14ac:dyDescent="0.35">
      <c r="A1" s="2" t="s">
        <v>335</v>
      </c>
      <c r="B1" s="2">
        <v>100</v>
      </c>
    </row>
    <row r="2" spans="1:2" x14ac:dyDescent="0.35">
      <c r="A2" s="2" t="s">
        <v>324</v>
      </c>
      <c r="B2" s="2">
        <v>50</v>
      </c>
    </row>
    <row r="3" spans="1:2" x14ac:dyDescent="0.35">
      <c r="A3" s="2" t="s">
        <v>325</v>
      </c>
      <c r="B3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E236C-EF54-46AD-B024-A51DE6231C6A}">
  <dimension ref="A1:P95"/>
  <sheetViews>
    <sheetView showGridLines="0" workbookViewId="0">
      <selection activeCell="A2" sqref="A2"/>
    </sheetView>
  </sheetViews>
  <sheetFormatPr defaultRowHeight="14.5" x14ac:dyDescent="0.35"/>
  <cols>
    <col min="2" max="2" width="7.08984375" bestFit="1" customWidth="1"/>
    <col min="3" max="3" width="22" customWidth="1"/>
    <col min="4" max="4" width="56.08984375" customWidth="1"/>
    <col min="5" max="5" width="23.81640625" customWidth="1"/>
    <col min="6" max="6" width="13.36328125" customWidth="1"/>
    <col min="7" max="7" width="11.08984375" customWidth="1"/>
    <col min="8" max="8" width="16.1796875" customWidth="1"/>
    <col min="9" max="9" width="12.54296875" customWidth="1"/>
    <col min="11" max="11" width="14.36328125" customWidth="1"/>
    <col min="13" max="13" width="15.1796875" customWidth="1"/>
    <col min="15" max="15" width="9.54296875" bestFit="1" customWidth="1"/>
  </cols>
  <sheetData>
    <row r="1" spans="1:16" ht="23.5" x14ac:dyDescent="0.35">
      <c r="A1" s="9" t="s">
        <v>330</v>
      </c>
    </row>
    <row r="2" spans="1:16" s="5" customFormat="1" ht="29" x14ac:dyDescent="0.35">
      <c r="A2" s="10" t="s">
        <v>350</v>
      </c>
      <c r="B2" s="10" t="s">
        <v>27</v>
      </c>
      <c r="C2" s="10" t="s">
        <v>28</v>
      </c>
      <c r="D2" s="10" t="s">
        <v>29</v>
      </c>
      <c r="E2" s="10" t="s">
        <v>326</v>
      </c>
      <c r="F2" s="12" t="s">
        <v>14</v>
      </c>
      <c r="G2" s="10" t="s">
        <v>30</v>
      </c>
      <c r="H2" s="10" t="s">
        <v>15</v>
      </c>
      <c r="I2" s="12" t="s">
        <v>16</v>
      </c>
      <c r="J2" s="12" t="s">
        <v>323</v>
      </c>
      <c r="K2" s="10" t="s">
        <v>17</v>
      </c>
      <c r="L2" s="12" t="s">
        <v>18</v>
      </c>
      <c r="M2" s="10" t="s">
        <v>19</v>
      </c>
      <c r="N2" s="10" t="s">
        <v>20</v>
      </c>
      <c r="O2" s="10" t="s">
        <v>32</v>
      </c>
      <c r="P2" s="12" t="s">
        <v>22</v>
      </c>
    </row>
    <row r="3" spans="1:16" ht="29" x14ac:dyDescent="0.35">
      <c r="A3" s="16" t="s">
        <v>332</v>
      </c>
      <c r="B3" s="14" t="s">
        <v>33</v>
      </c>
      <c r="C3" s="14" t="s">
        <v>34</v>
      </c>
      <c r="D3" s="17" t="s">
        <v>47</v>
      </c>
      <c r="E3" s="14" t="s">
        <v>327</v>
      </c>
      <c r="F3" s="14" t="s">
        <v>331</v>
      </c>
      <c r="G3" s="14"/>
      <c r="H3" s="14"/>
      <c r="I3" s="14" t="s">
        <v>335</v>
      </c>
      <c r="J3" s="14">
        <f>IFERROR(VLOOKUP(I3,'Scoring &amp; Lists'!A:B,2,FALSE),0)</f>
        <v>100</v>
      </c>
      <c r="K3" s="14"/>
      <c r="L3" s="14" t="s">
        <v>40</v>
      </c>
      <c r="M3" s="14"/>
      <c r="N3" s="14" t="s">
        <v>23</v>
      </c>
      <c r="O3" s="15">
        <v>46112</v>
      </c>
      <c r="P3" s="14" t="s">
        <v>24</v>
      </c>
    </row>
    <row r="4" spans="1:16" ht="29" x14ac:dyDescent="0.35">
      <c r="A4" s="16" t="s">
        <v>332</v>
      </c>
      <c r="B4" s="14" t="s">
        <v>48</v>
      </c>
      <c r="C4" s="14" t="s">
        <v>49</v>
      </c>
      <c r="D4" s="17" t="s">
        <v>50</v>
      </c>
      <c r="E4" s="14" t="s">
        <v>327</v>
      </c>
      <c r="F4" s="14"/>
      <c r="G4" s="14"/>
      <c r="H4" s="14"/>
      <c r="I4" s="14"/>
      <c r="J4" s="14"/>
      <c r="K4" s="14"/>
      <c r="L4" s="14"/>
      <c r="M4" s="14"/>
      <c r="N4" s="14"/>
      <c r="O4" s="15"/>
      <c r="P4" s="14"/>
    </row>
    <row r="5" spans="1:16" x14ac:dyDescent="0.35">
      <c r="A5" s="16" t="s">
        <v>332</v>
      </c>
      <c r="B5" s="16" t="s">
        <v>51</v>
      </c>
      <c r="C5" s="14" t="s">
        <v>52</v>
      </c>
      <c r="D5" s="17" t="s">
        <v>53</v>
      </c>
      <c r="E5" s="14" t="s">
        <v>327</v>
      </c>
      <c r="F5" s="14"/>
      <c r="G5" s="16"/>
      <c r="H5" s="16"/>
      <c r="I5" s="16"/>
      <c r="J5" s="16"/>
      <c r="K5" s="16"/>
      <c r="L5" s="16"/>
      <c r="M5" s="16"/>
      <c r="N5" s="16"/>
      <c r="O5" s="16"/>
      <c r="P5" s="16"/>
    </row>
    <row r="6" spans="1:16" ht="29" x14ac:dyDescent="0.35">
      <c r="A6" s="16" t="s">
        <v>332</v>
      </c>
      <c r="B6" s="16" t="s">
        <v>54</v>
      </c>
      <c r="C6" s="14" t="s">
        <v>55</v>
      </c>
      <c r="D6" s="17" t="s">
        <v>56</v>
      </c>
      <c r="E6" s="14" t="s">
        <v>327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x14ac:dyDescent="0.35">
      <c r="A7" s="16" t="s">
        <v>332</v>
      </c>
      <c r="B7" s="16" t="s">
        <v>57</v>
      </c>
      <c r="C7" s="14" t="s">
        <v>58</v>
      </c>
      <c r="D7" s="17" t="s">
        <v>59</v>
      </c>
      <c r="E7" s="14" t="s">
        <v>327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</row>
    <row r="8" spans="1:16" ht="29" x14ac:dyDescent="0.35">
      <c r="A8" s="16" t="s">
        <v>332</v>
      </c>
      <c r="B8" s="16" t="s">
        <v>60</v>
      </c>
      <c r="C8" s="14" t="s">
        <v>61</v>
      </c>
      <c r="D8" s="17" t="s">
        <v>62</v>
      </c>
      <c r="E8" s="14" t="s">
        <v>327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  <row r="9" spans="1:16" ht="29" x14ac:dyDescent="0.35">
      <c r="A9" s="16" t="s">
        <v>332</v>
      </c>
      <c r="B9" s="16" t="s">
        <v>63</v>
      </c>
      <c r="C9" s="14" t="s">
        <v>64</v>
      </c>
      <c r="D9" s="17" t="s">
        <v>65</v>
      </c>
      <c r="E9" s="14" t="s">
        <v>327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16" ht="29" x14ac:dyDescent="0.35">
      <c r="A10" s="16" t="s">
        <v>332</v>
      </c>
      <c r="B10" s="16" t="s">
        <v>66</v>
      </c>
      <c r="C10" s="14" t="s">
        <v>67</v>
      </c>
      <c r="D10" s="17" t="s">
        <v>68</v>
      </c>
      <c r="E10" s="14" t="s">
        <v>327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16" ht="43.5" x14ac:dyDescent="0.35">
      <c r="A11" s="16" t="s">
        <v>332</v>
      </c>
      <c r="B11" s="16" t="s">
        <v>69</v>
      </c>
      <c r="C11" s="14" t="s">
        <v>70</v>
      </c>
      <c r="D11" s="17" t="s">
        <v>71</v>
      </c>
      <c r="E11" s="14" t="s">
        <v>327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1:16" ht="29" x14ac:dyDescent="0.35">
      <c r="A12" s="16" t="s">
        <v>332</v>
      </c>
      <c r="B12" s="16" t="s">
        <v>72</v>
      </c>
      <c r="C12" s="14" t="s">
        <v>73</v>
      </c>
      <c r="D12" s="17" t="s">
        <v>74</v>
      </c>
      <c r="E12" s="14" t="s">
        <v>327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16" ht="29" x14ac:dyDescent="0.35">
      <c r="A13" s="16" t="s">
        <v>332</v>
      </c>
      <c r="B13" s="16" t="s">
        <v>75</v>
      </c>
      <c r="C13" s="14" t="s">
        <v>76</v>
      </c>
      <c r="D13" s="17" t="s">
        <v>77</v>
      </c>
      <c r="E13" s="14" t="s">
        <v>327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16" ht="29" x14ac:dyDescent="0.35">
      <c r="A14" s="16" t="s">
        <v>332</v>
      </c>
      <c r="B14" s="16" t="s">
        <v>78</v>
      </c>
      <c r="C14" s="14" t="s">
        <v>79</v>
      </c>
      <c r="D14" s="17" t="s">
        <v>80</v>
      </c>
      <c r="E14" s="14" t="s">
        <v>327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16" x14ac:dyDescent="0.35">
      <c r="A15" s="16" t="s">
        <v>332</v>
      </c>
      <c r="B15" s="16" t="s">
        <v>81</v>
      </c>
      <c r="C15" s="14" t="s">
        <v>82</v>
      </c>
      <c r="D15" s="17" t="s">
        <v>83</v>
      </c>
      <c r="E15" s="14" t="s">
        <v>327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16" x14ac:dyDescent="0.35">
      <c r="A16" s="16" t="s">
        <v>332</v>
      </c>
      <c r="B16" s="16" t="s">
        <v>84</v>
      </c>
      <c r="C16" s="14" t="s">
        <v>85</v>
      </c>
      <c r="D16" s="17" t="s">
        <v>86</v>
      </c>
      <c r="E16" s="14" t="s">
        <v>327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16" x14ac:dyDescent="0.35">
      <c r="A17" s="16" t="s">
        <v>332</v>
      </c>
      <c r="B17" s="16" t="s">
        <v>87</v>
      </c>
      <c r="C17" s="14" t="s">
        <v>88</v>
      </c>
      <c r="D17" s="17" t="s">
        <v>89</v>
      </c>
      <c r="E17" s="14" t="s">
        <v>327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16" x14ac:dyDescent="0.35">
      <c r="A18" s="16" t="s">
        <v>332</v>
      </c>
      <c r="B18" s="16" t="s">
        <v>90</v>
      </c>
      <c r="C18" s="14" t="s">
        <v>91</v>
      </c>
      <c r="D18" s="17" t="s">
        <v>92</v>
      </c>
      <c r="E18" s="14" t="s">
        <v>327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</row>
    <row r="19" spans="1:16" ht="29" x14ac:dyDescent="0.35">
      <c r="A19" s="16" t="s">
        <v>332</v>
      </c>
      <c r="B19" s="16" t="s">
        <v>93</v>
      </c>
      <c r="C19" s="14" t="s">
        <v>94</v>
      </c>
      <c r="D19" s="17" t="s">
        <v>95</v>
      </c>
      <c r="E19" s="14" t="s">
        <v>327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</row>
    <row r="20" spans="1:16" x14ac:dyDescent="0.35">
      <c r="A20" s="16" t="s">
        <v>332</v>
      </c>
      <c r="B20" s="16" t="s">
        <v>96</v>
      </c>
      <c r="C20" s="14" t="s">
        <v>97</v>
      </c>
      <c r="D20" s="17" t="s">
        <v>98</v>
      </c>
      <c r="E20" s="14" t="s">
        <v>327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</row>
    <row r="21" spans="1:16" ht="29" x14ac:dyDescent="0.35">
      <c r="A21" s="16" t="s">
        <v>332</v>
      </c>
      <c r="B21" s="16" t="s">
        <v>99</v>
      </c>
      <c r="C21" s="14" t="s">
        <v>100</v>
      </c>
      <c r="D21" s="17" t="s">
        <v>101</v>
      </c>
      <c r="E21" s="14" t="s">
        <v>327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</row>
    <row r="22" spans="1:16" ht="43.5" x14ac:dyDescent="0.35">
      <c r="A22" s="16" t="s">
        <v>332</v>
      </c>
      <c r="B22" s="16" t="s">
        <v>102</v>
      </c>
      <c r="C22" s="14" t="s">
        <v>103</v>
      </c>
      <c r="D22" s="17" t="s">
        <v>104</v>
      </c>
      <c r="E22" s="14" t="s">
        <v>327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</row>
    <row r="23" spans="1:16" ht="43.5" x14ac:dyDescent="0.35">
      <c r="A23" s="16" t="s">
        <v>332</v>
      </c>
      <c r="B23" s="16" t="s">
        <v>105</v>
      </c>
      <c r="C23" s="14" t="s">
        <v>106</v>
      </c>
      <c r="D23" s="17" t="s">
        <v>107</v>
      </c>
      <c r="E23" s="14" t="s">
        <v>327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</row>
    <row r="24" spans="1:16" ht="43.5" x14ac:dyDescent="0.35">
      <c r="A24" s="16" t="s">
        <v>332</v>
      </c>
      <c r="B24" s="16" t="s">
        <v>108</v>
      </c>
      <c r="C24" s="14" t="s">
        <v>109</v>
      </c>
      <c r="D24" s="17" t="s">
        <v>110</v>
      </c>
      <c r="E24" s="14" t="s">
        <v>327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</row>
    <row r="25" spans="1:16" ht="29" x14ac:dyDescent="0.35">
      <c r="A25" s="16" t="s">
        <v>332</v>
      </c>
      <c r="B25" s="16" t="s">
        <v>35</v>
      </c>
      <c r="C25" s="14" t="s">
        <v>111</v>
      </c>
      <c r="D25" s="17" t="s">
        <v>112</v>
      </c>
      <c r="E25" s="14" t="s">
        <v>327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</row>
    <row r="26" spans="1:16" ht="58" x14ac:dyDescent="0.35">
      <c r="A26" s="16" t="s">
        <v>332</v>
      </c>
      <c r="B26" s="16" t="s">
        <v>113</v>
      </c>
      <c r="C26" s="14" t="s">
        <v>114</v>
      </c>
      <c r="D26" s="17" t="s">
        <v>115</v>
      </c>
      <c r="E26" s="14" t="s">
        <v>327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</row>
    <row r="27" spans="1:16" ht="43.5" x14ac:dyDescent="0.35">
      <c r="A27" s="16" t="s">
        <v>332</v>
      </c>
      <c r="B27" s="16" t="s">
        <v>116</v>
      </c>
      <c r="C27" s="14" t="s">
        <v>117</v>
      </c>
      <c r="D27" s="17" t="s">
        <v>118</v>
      </c>
      <c r="E27" s="14" t="s">
        <v>327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</row>
    <row r="28" spans="1:16" ht="29" x14ac:dyDescent="0.35">
      <c r="A28" s="16" t="s">
        <v>332</v>
      </c>
      <c r="B28" s="16" t="s">
        <v>119</v>
      </c>
      <c r="C28" s="14" t="s">
        <v>120</v>
      </c>
      <c r="D28" s="17" t="s">
        <v>121</v>
      </c>
      <c r="E28" s="14" t="s">
        <v>327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</row>
    <row r="29" spans="1:16" ht="43.5" x14ac:dyDescent="0.35">
      <c r="A29" s="16" t="s">
        <v>332</v>
      </c>
      <c r="B29" s="16" t="s">
        <v>122</v>
      </c>
      <c r="C29" s="14" t="s">
        <v>123</v>
      </c>
      <c r="D29" s="17" t="s">
        <v>124</v>
      </c>
      <c r="E29" s="14" t="s">
        <v>327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</row>
    <row r="30" spans="1:16" x14ac:dyDescent="0.35">
      <c r="A30" s="16" t="s">
        <v>332</v>
      </c>
      <c r="B30" s="16" t="s">
        <v>125</v>
      </c>
      <c r="C30" s="14" t="s">
        <v>126</v>
      </c>
      <c r="D30" s="17" t="s">
        <v>127</v>
      </c>
      <c r="E30" s="14" t="s">
        <v>327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</row>
    <row r="31" spans="1:16" ht="29" x14ac:dyDescent="0.35">
      <c r="A31" s="16" t="s">
        <v>332</v>
      </c>
      <c r="B31" s="16" t="s">
        <v>128</v>
      </c>
      <c r="C31" s="14" t="s">
        <v>129</v>
      </c>
      <c r="D31" s="17" t="s">
        <v>130</v>
      </c>
      <c r="E31" s="14" t="s">
        <v>327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</row>
    <row r="32" spans="1:16" ht="29" x14ac:dyDescent="0.35">
      <c r="A32" s="16" t="s">
        <v>332</v>
      </c>
      <c r="B32" s="16" t="s">
        <v>131</v>
      </c>
      <c r="C32" s="14" t="s">
        <v>132</v>
      </c>
      <c r="D32" s="17" t="s">
        <v>133</v>
      </c>
      <c r="E32" s="14" t="s">
        <v>327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</row>
    <row r="33" spans="1:16" ht="58" x14ac:dyDescent="0.35">
      <c r="A33" s="16" t="s">
        <v>332</v>
      </c>
      <c r="B33" s="16" t="s">
        <v>134</v>
      </c>
      <c r="C33" s="14" t="s">
        <v>135</v>
      </c>
      <c r="D33" s="17" t="s">
        <v>136</v>
      </c>
      <c r="E33" s="14" t="s">
        <v>327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</row>
    <row r="34" spans="1:16" ht="29" x14ac:dyDescent="0.35">
      <c r="A34" s="16" t="s">
        <v>332</v>
      </c>
      <c r="B34" s="16" t="s">
        <v>137</v>
      </c>
      <c r="C34" s="14" t="s">
        <v>138</v>
      </c>
      <c r="D34" s="17" t="s">
        <v>139</v>
      </c>
      <c r="E34" s="14" t="s">
        <v>327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</row>
    <row r="35" spans="1:16" x14ac:dyDescent="0.35">
      <c r="A35" s="16" t="s">
        <v>332</v>
      </c>
      <c r="B35" s="16" t="s">
        <v>140</v>
      </c>
      <c r="C35" s="14" t="s">
        <v>141</v>
      </c>
      <c r="D35" s="17" t="s">
        <v>142</v>
      </c>
      <c r="E35" s="14" t="s">
        <v>327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</row>
    <row r="36" spans="1:16" ht="29" x14ac:dyDescent="0.35">
      <c r="A36" s="16" t="s">
        <v>332</v>
      </c>
      <c r="B36" s="16" t="s">
        <v>143</v>
      </c>
      <c r="C36" s="14" t="s">
        <v>144</v>
      </c>
      <c r="D36" s="17" t="s">
        <v>145</v>
      </c>
      <c r="E36" s="14" t="s">
        <v>327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</row>
    <row r="37" spans="1:16" ht="29" x14ac:dyDescent="0.35">
      <c r="A37" s="16" t="s">
        <v>332</v>
      </c>
      <c r="B37" s="16" t="s">
        <v>146</v>
      </c>
      <c r="C37" s="14" t="s">
        <v>147</v>
      </c>
      <c r="D37" s="17" t="s">
        <v>148</v>
      </c>
      <c r="E37" s="14" t="s">
        <v>327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</row>
    <row r="38" spans="1:16" ht="29" x14ac:dyDescent="0.35">
      <c r="A38" s="16" t="s">
        <v>332</v>
      </c>
      <c r="B38" s="16" t="s">
        <v>149</v>
      </c>
      <c r="C38" s="14" t="s">
        <v>150</v>
      </c>
      <c r="D38" s="17" t="s">
        <v>151</v>
      </c>
      <c r="E38" s="14" t="s">
        <v>327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</row>
    <row r="39" spans="1:16" ht="29" x14ac:dyDescent="0.35">
      <c r="A39" s="16" t="s">
        <v>332</v>
      </c>
      <c r="B39" s="16" t="s">
        <v>152</v>
      </c>
      <c r="C39" s="14" t="s">
        <v>153</v>
      </c>
      <c r="D39" s="17" t="s">
        <v>154</v>
      </c>
      <c r="E39" s="14" t="s">
        <v>327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</row>
    <row r="40" spans="1:16" x14ac:dyDescent="0.35">
      <c r="A40" s="16" t="s">
        <v>334</v>
      </c>
      <c r="B40" s="16" t="s">
        <v>155</v>
      </c>
      <c r="C40" s="16" t="s">
        <v>156</v>
      </c>
      <c r="D40" s="18" t="s">
        <v>157</v>
      </c>
      <c r="E40" s="16" t="s">
        <v>327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</row>
    <row r="41" spans="1:16" x14ac:dyDescent="0.35">
      <c r="A41" s="16" t="s">
        <v>334</v>
      </c>
      <c r="B41" s="16" t="s">
        <v>158</v>
      </c>
      <c r="C41" s="16" t="s">
        <v>159</v>
      </c>
      <c r="D41" s="18" t="s">
        <v>160</v>
      </c>
      <c r="E41" s="16" t="s">
        <v>327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</row>
    <row r="42" spans="1:16" x14ac:dyDescent="0.35">
      <c r="A42" s="16" t="s">
        <v>334</v>
      </c>
      <c r="B42" s="16" t="s">
        <v>161</v>
      </c>
      <c r="C42" s="16" t="s">
        <v>162</v>
      </c>
      <c r="D42" s="18" t="s">
        <v>163</v>
      </c>
      <c r="E42" s="16" t="s">
        <v>327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</row>
    <row r="43" spans="1:16" x14ac:dyDescent="0.35">
      <c r="A43" s="16" t="s">
        <v>334</v>
      </c>
      <c r="B43" s="16" t="s">
        <v>164</v>
      </c>
      <c r="C43" s="16" t="s">
        <v>165</v>
      </c>
      <c r="D43" s="18" t="s">
        <v>166</v>
      </c>
      <c r="E43" s="16" t="s">
        <v>327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</row>
    <row r="44" spans="1:16" x14ac:dyDescent="0.35">
      <c r="A44" s="16" t="s">
        <v>334</v>
      </c>
      <c r="B44" s="16" t="s">
        <v>167</v>
      </c>
      <c r="C44" s="16" t="s">
        <v>168</v>
      </c>
      <c r="D44" s="18" t="s">
        <v>169</v>
      </c>
      <c r="E44" s="16" t="s">
        <v>327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</row>
    <row r="45" spans="1:16" x14ac:dyDescent="0.35">
      <c r="A45" s="16" t="s">
        <v>334</v>
      </c>
      <c r="B45" s="16" t="s">
        <v>170</v>
      </c>
      <c r="C45" s="16" t="s">
        <v>171</v>
      </c>
      <c r="D45" s="18" t="s">
        <v>172</v>
      </c>
      <c r="E45" s="16" t="s">
        <v>327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</row>
    <row r="46" spans="1:16" x14ac:dyDescent="0.35">
      <c r="A46" s="16" t="s">
        <v>334</v>
      </c>
      <c r="B46" s="16" t="s">
        <v>173</v>
      </c>
      <c r="C46" s="16" t="s">
        <v>174</v>
      </c>
      <c r="D46" s="18" t="s">
        <v>175</v>
      </c>
      <c r="E46" s="16" t="s">
        <v>327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</row>
    <row r="47" spans="1:16" x14ac:dyDescent="0.35">
      <c r="A47" s="16" t="s">
        <v>334</v>
      </c>
      <c r="B47" s="16" t="s">
        <v>176</v>
      </c>
      <c r="C47" s="16" t="s">
        <v>177</v>
      </c>
      <c r="D47" s="18" t="s">
        <v>178</v>
      </c>
      <c r="E47" s="16" t="s">
        <v>327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</row>
    <row r="48" spans="1:16" x14ac:dyDescent="0.35">
      <c r="A48" s="16" t="s">
        <v>179</v>
      </c>
      <c r="B48" s="16" t="s">
        <v>180</v>
      </c>
      <c r="C48" s="16" t="s">
        <v>181</v>
      </c>
      <c r="D48" s="18" t="s">
        <v>182</v>
      </c>
      <c r="E48" s="16" t="s">
        <v>328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</row>
    <row r="49" spans="1:16" x14ac:dyDescent="0.35">
      <c r="A49" s="16" t="s">
        <v>179</v>
      </c>
      <c r="B49" s="16" t="s">
        <v>183</v>
      </c>
      <c r="C49" s="16" t="s">
        <v>184</v>
      </c>
      <c r="D49" s="18" t="s">
        <v>185</v>
      </c>
      <c r="E49" s="16" t="s">
        <v>328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</row>
    <row r="50" spans="1:16" x14ac:dyDescent="0.35">
      <c r="A50" s="16" t="s">
        <v>179</v>
      </c>
      <c r="B50" s="16" t="s">
        <v>186</v>
      </c>
      <c r="C50" s="16" t="s">
        <v>187</v>
      </c>
      <c r="D50" s="18" t="s">
        <v>188</v>
      </c>
      <c r="E50" s="16" t="s">
        <v>328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</row>
    <row r="51" spans="1:16" x14ac:dyDescent="0.35">
      <c r="A51" s="16" t="s">
        <v>179</v>
      </c>
      <c r="B51" s="16" t="s">
        <v>189</v>
      </c>
      <c r="C51" s="16" t="s">
        <v>190</v>
      </c>
      <c r="D51" s="18" t="s">
        <v>191</v>
      </c>
      <c r="E51" s="16" t="s">
        <v>328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</row>
    <row r="52" spans="1:16" x14ac:dyDescent="0.35">
      <c r="A52" s="16" t="s">
        <v>179</v>
      </c>
      <c r="B52" s="16" t="s">
        <v>192</v>
      </c>
      <c r="C52" s="16" t="s">
        <v>193</v>
      </c>
      <c r="D52" s="18" t="s">
        <v>194</v>
      </c>
      <c r="E52" s="16" t="s">
        <v>328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</row>
    <row r="53" spans="1:16" x14ac:dyDescent="0.35">
      <c r="A53" s="16" t="s">
        <v>179</v>
      </c>
      <c r="B53" s="16" t="s">
        <v>195</v>
      </c>
      <c r="C53" s="16" t="s">
        <v>196</v>
      </c>
      <c r="D53" s="18" t="s">
        <v>197</v>
      </c>
      <c r="E53" s="16" t="s">
        <v>328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</row>
    <row r="54" spans="1:16" x14ac:dyDescent="0.35">
      <c r="A54" s="16" t="s">
        <v>179</v>
      </c>
      <c r="B54" s="16" t="s">
        <v>198</v>
      </c>
      <c r="C54" s="16" t="s">
        <v>199</v>
      </c>
      <c r="D54" s="18" t="s">
        <v>200</v>
      </c>
      <c r="E54" s="16" t="s">
        <v>327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</row>
    <row r="55" spans="1:16" x14ac:dyDescent="0.35">
      <c r="A55" s="16" t="s">
        <v>179</v>
      </c>
      <c r="B55" s="16" t="s">
        <v>201</v>
      </c>
      <c r="C55" s="16" t="s">
        <v>202</v>
      </c>
      <c r="D55" s="18" t="s">
        <v>203</v>
      </c>
      <c r="E55" s="16" t="s">
        <v>328</v>
      </c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</row>
    <row r="56" spans="1:16" x14ac:dyDescent="0.35">
      <c r="A56" s="16" t="s">
        <v>179</v>
      </c>
      <c r="B56" s="16" t="s">
        <v>204</v>
      </c>
      <c r="C56" s="16" t="s">
        <v>205</v>
      </c>
      <c r="D56" s="18" t="s">
        <v>206</v>
      </c>
      <c r="E56" s="16" t="s">
        <v>328</v>
      </c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</row>
    <row r="57" spans="1:16" x14ac:dyDescent="0.35">
      <c r="A57" s="16" t="s">
        <v>179</v>
      </c>
      <c r="B57" s="16" t="s">
        <v>207</v>
      </c>
      <c r="C57" s="16" t="s">
        <v>208</v>
      </c>
      <c r="D57" s="18" t="s">
        <v>209</v>
      </c>
      <c r="E57" s="16" t="s">
        <v>328</v>
      </c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</row>
    <row r="58" spans="1:16" x14ac:dyDescent="0.35">
      <c r="A58" s="16" t="s">
        <v>179</v>
      </c>
      <c r="B58" s="16" t="s">
        <v>210</v>
      </c>
      <c r="C58" s="16" t="s">
        <v>211</v>
      </c>
      <c r="D58" s="18" t="s">
        <v>212</v>
      </c>
      <c r="E58" s="16" t="s">
        <v>328</v>
      </c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</row>
    <row r="59" spans="1:16" x14ac:dyDescent="0.35">
      <c r="A59" s="16" t="s">
        <v>179</v>
      </c>
      <c r="B59" s="16" t="s">
        <v>213</v>
      </c>
      <c r="C59" s="16" t="s">
        <v>214</v>
      </c>
      <c r="D59" s="18" t="s">
        <v>215</v>
      </c>
      <c r="E59" s="16" t="s">
        <v>328</v>
      </c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</row>
    <row r="60" spans="1:16" x14ac:dyDescent="0.35">
      <c r="A60" s="16" t="s">
        <v>179</v>
      </c>
      <c r="B60" s="16" t="s">
        <v>216</v>
      </c>
      <c r="C60" s="16" t="s">
        <v>217</v>
      </c>
      <c r="D60" s="18" t="s">
        <v>218</v>
      </c>
      <c r="E60" s="16" t="s">
        <v>328</v>
      </c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</row>
    <row r="61" spans="1:16" x14ac:dyDescent="0.35">
      <c r="A61" s="16" t="s">
        <v>179</v>
      </c>
      <c r="B61" s="16" t="s">
        <v>219</v>
      </c>
      <c r="C61" s="16" t="s">
        <v>220</v>
      </c>
      <c r="D61" s="18" t="s">
        <v>221</v>
      </c>
      <c r="E61" s="16" t="s">
        <v>328</v>
      </c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</row>
    <row r="62" spans="1:16" x14ac:dyDescent="0.35">
      <c r="A62" s="16" t="s">
        <v>333</v>
      </c>
      <c r="B62" s="16" t="s">
        <v>222</v>
      </c>
      <c r="C62" s="16" t="s">
        <v>223</v>
      </c>
      <c r="D62" s="18" t="s">
        <v>224</v>
      </c>
      <c r="E62" s="16" t="s">
        <v>327</v>
      </c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</row>
    <row r="63" spans="1:16" x14ac:dyDescent="0.35">
      <c r="A63" s="16" t="s">
        <v>333</v>
      </c>
      <c r="B63" s="16" t="s">
        <v>225</v>
      </c>
      <c r="C63" s="16" t="s">
        <v>226</v>
      </c>
      <c r="D63" s="18" t="s">
        <v>227</v>
      </c>
      <c r="E63" s="16" t="s">
        <v>327</v>
      </c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</row>
    <row r="64" spans="1:16" x14ac:dyDescent="0.35">
      <c r="A64" s="16" t="s">
        <v>333</v>
      </c>
      <c r="B64" s="16" t="s">
        <v>228</v>
      </c>
      <c r="C64" s="16" t="s">
        <v>229</v>
      </c>
      <c r="D64" s="18" t="s">
        <v>230</v>
      </c>
      <c r="E64" s="16" t="s">
        <v>327</v>
      </c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</row>
    <row r="65" spans="1:16" x14ac:dyDescent="0.35">
      <c r="A65" s="16" t="s">
        <v>333</v>
      </c>
      <c r="B65" s="16" t="s">
        <v>231</v>
      </c>
      <c r="C65" s="16" t="s">
        <v>232</v>
      </c>
      <c r="D65" s="18" t="s">
        <v>233</v>
      </c>
      <c r="E65" s="16" t="s">
        <v>327</v>
      </c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</row>
    <row r="66" spans="1:16" x14ac:dyDescent="0.35">
      <c r="A66" s="16" t="s">
        <v>333</v>
      </c>
      <c r="B66" s="16" t="s">
        <v>234</v>
      </c>
      <c r="C66" s="16" t="s">
        <v>235</v>
      </c>
      <c r="D66" s="18" t="s">
        <v>236</v>
      </c>
      <c r="E66" s="16" t="s">
        <v>327</v>
      </c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</row>
    <row r="67" spans="1:16" x14ac:dyDescent="0.35">
      <c r="A67" s="16" t="s">
        <v>333</v>
      </c>
      <c r="B67" s="16" t="s">
        <v>237</v>
      </c>
      <c r="C67" s="16" t="s">
        <v>238</v>
      </c>
      <c r="D67" s="18" t="s">
        <v>239</v>
      </c>
      <c r="E67" s="16" t="s">
        <v>327</v>
      </c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</row>
    <row r="68" spans="1:16" x14ac:dyDescent="0.35">
      <c r="A68" s="16" t="s">
        <v>333</v>
      </c>
      <c r="B68" s="16" t="s">
        <v>240</v>
      </c>
      <c r="C68" s="16" t="s">
        <v>241</v>
      </c>
      <c r="D68" s="18" t="s">
        <v>242</v>
      </c>
      <c r="E68" s="16" t="s">
        <v>327</v>
      </c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</row>
    <row r="69" spans="1:16" x14ac:dyDescent="0.35">
      <c r="A69" s="16" t="s">
        <v>333</v>
      </c>
      <c r="B69" s="16" t="s">
        <v>243</v>
      </c>
      <c r="C69" s="16" t="s">
        <v>244</v>
      </c>
      <c r="D69" s="18" t="s">
        <v>245</v>
      </c>
      <c r="E69" s="16" t="s">
        <v>327</v>
      </c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</row>
    <row r="70" spans="1:16" x14ac:dyDescent="0.35">
      <c r="A70" s="16" t="s">
        <v>333</v>
      </c>
      <c r="B70" s="16" t="s">
        <v>246</v>
      </c>
      <c r="C70" s="16" t="s">
        <v>247</v>
      </c>
      <c r="D70" s="18" t="s">
        <v>248</v>
      </c>
      <c r="E70" s="16" t="s">
        <v>327</v>
      </c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</row>
    <row r="71" spans="1:16" x14ac:dyDescent="0.35">
      <c r="A71" s="16" t="s">
        <v>333</v>
      </c>
      <c r="B71" s="16" t="s">
        <v>249</v>
      </c>
      <c r="C71" s="16" t="s">
        <v>250</v>
      </c>
      <c r="D71" s="18" t="s">
        <v>251</v>
      </c>
      <c r="E71" s="16" t="s">
        <v>327</v>
      </c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</row>
    <row r="72" spans="1:16" x14ac:dyDescent="0.35">
      <c r="A72" s="16" t="s">
        <v>333</v>
      </c>
      <c r="B72" s="16" t="s">
        <v>252</v>
      </c>
      <c r="C72" s="16" t="s">
        <v>253</v>
      </c>
      <c r="D72" s="18" t="s">
        <v>254</v>
      </c>
      <c r="E72" s="16" t="s">
        <v>327</v>
      </c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</row>
    <row r="73" spans="1:16" x14ac:dyDescent="0.35">
      <c r="A73" s="16" t="s">
        <v>333</v>
      </c>
      <c r="B73" s="16" t="s">
        <v>43</v>
      </c>
      <c r="C73" s="16" t="s">
        <v>255</v>
      </c>
      <c r="D73" s="18" t="s">
        <v>256</v>
      </c>
      <c r="E73" s="16" t="s">
        <v>327</v>
      </c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</row>
    <row r="74" spans="1:16" x14ac:dyDescent="0.35">
      <c r="A74" s="16" t="s">
        <v>333</v>
      </c>
      <c r="B74" s="16" t="s">
        <v>257</v>
      </c>
      <c r="C74" s="16" t="s">
        <v>258</v>
      </c>
      <c r="D74" s="18" t="s">
        <v>259</v>
      </c>
      <c r="E74" s="16" t="s">
        <v>327</v>
      </c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</row>
    <row r="75" spans="1:16" x14ac:dyDescent="0.35">
      <c r="A75" s="16" t="s">
        <v>333</v>
      </c>
      <c r="B75" s="16" t="s">
        <v>260</v>
      </c>
      <c r="C75" s="16" t="s">
        <v>261</v>
      </c>
      <c r="D75" s="18" t="s">
        <v>262</v>
      </c>
      <c r="E75" s="16" t="s">
        <v>327</v>
      </c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</row>
    <row r="76" spans="1:16" x14ac:dyDescent="0.35">
      <c r="A76" s="16" t="s">
        <v>333</v>
      </c>
      <c r="B76" s="16" t="s">
        <v>263</v>
      </c>
      <c r="C76" s="16" t="s">
        <v>264</v>
      </c>
      <c r="D76" s="18" t="s">
        <v>265</v>
      </c>
      <c r="E76" s="16" t="s">
        <v>327</v>
      </c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</row>
    <row r="77" spans="1:16" x14ac:dyDescent="0.35">
      <c r="A77" s="16" t="s">
        <v>333</v>
      </c>
      <c r="B77" s="16" t="s">
        <v>266</v>
      </c>
      <c r="C77" s="16" t="s">
        <v>267</v>
      </c>
      <c r="D77" s="18" t="s">
        <v>268</v>
      </c>
      <c r="E77" s="16" t="s">
        <v>327</v>
      </c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</row>
    <row r="78" spans="1:16" x14ac:dyDescent="0.35">
      <c r="A78" s="16" t="s">
        <v>333</v>
      </c>
      <c r="B78" s="16" t="s">
        <v>269</v>
      </c>
      <c r="C78" s="16" t="s">
        <v>270</v>
      </c>
      <c r="D78" s="18" t="s">
        <v>271</v>
      </c>
      <c r="E78" s="16" t="s">
        <v>327</v>
      </c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</row>
    <row r="79" spans="1:16" x14ac:dyDescent="0.35">
      <c r="A79" s="16" t="s">
        <v>333</v>
      </c>
      <c r="B79" s="16" t="s">
        <v>272</v>
      </c>
      <c r="C79" s="16" t="s">
        <v>273</v>
      </c>
      <c r="D79" s="18" t="s">
        <v>274</v>
      </c>
      <c r="E79" s="16" t="s">
        <v>327</v>
      </c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</row>
    <row r="80" spans="1:16" x14ac:dyDescent="0.35">
      <c r="A80" s="16" t="s">
        <v>333</v>
      </c>
      <c r="B80" s="16" t="s">
        <v>275</v>
      </c>
      <c r="C80" s="16" t="s">
        <v>276</v>
      </c>
      <c r="D80" s="18" t="s">
        <v>277</v>
      </c>
      <c r="E80" s="16" t="s">
        <v>327</v>
      </c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</row>
    <row r="81" spans="1:16" x14ac:dyDescent="0.35">
      <c r="A81" s="16" t="s">
        <v>333</v>
      </c>
      <c r="B81" s="16" t="s">
        <v>278</v>
      </c>
      <c r="C81" s="16" t="s">
        <v>279</v>
      </c>
      <c r="D81" s="18" t="s">
        <v>280</v>
      </c>
      <c r="E81" s="16" t="s">
        <v>327</v>
      </c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</row>
    <row r="82" spans="1:16" x14ac:dyDescent="0.35">
      <c r="A82" s="16" t="s">
        <v>333</v>
      </c>
      <c r="B82" s="16" t="s">
        <v>281</v>
      </c>
      <c r="C82" s="16" t="s">
        <v>282</v>
      </c>
      <c r="D82" s="18" t="s">
        <v>283</v>
      </c>
      <c r="E82" s="16" t="s">
        <v>327</v>
      </c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</row>
    <row r="83" spans="1:16" x14ac:dyDescent="0.35">
      <c r="A83" s="16" t="s">
        <v>333</v>
      </c>
      <c r="B83" s="16" t="s">
        <v>284</v>
      </c>
      <c r="C83" s="16" t="s">
        <v>285</v>
      </c>
      <c r="D83" s="18" t="s">
        <v>286</v>
      </c>
      <c r="E83" s="16" t="s">
        <v>327</v>
      </c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</row>
    <row r="84" spans="1:16" x14ac:dyDescent="0.35">
      <c r="A84" s="16" t="s">
        <v>333</v>
      </c>
      <c r="B84" s="16" t="s">
        <v>287</v>
      </c>
      <c r="C84" s="16" t="s">
        <v>288</v>
      </c>
      <c r="D84" s="18" t="s">
        <v>289</v>
      </c>
      <c r="E84" s="16" t="s">
        <v>327</v>
      </c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</row>
    <row r="85" spans="1:16" x14ac:dyDescent="0.35">
      <c r="A85" s="16" t="s">
        <v>333</v>
      </c>
      <c r="B85" s="16" t="s">
        <v>290</v>
      </c>
      <c r="C85" s="16" t="s">
        <v>291</v>
      </c>
      <c r="D85" s="18" t="s">
        <v>292</v>
      </c>
      <c r="E85" s="16" t="s">
        <v>327</v>
      </c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</row>
    <row r="86" spans="1:16" x14ac:dyDescent="0.35">
      <c r="A86" s="16" t="s">
        <v>333</v>
      </c>
      <c r="B86" s="16" t="s">
        <v>293</v>
      </c>
      <c r="C86" s="16" t="s">
        <v>294</v>
      </c>
      <c r="D86" s="18" t="s">
        <v>295</v>
      </c>
      <c r="E86" s="16" t="s">
        <v>327</v>
      </c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</row>
    <row r="87" spans="1:16" x14ac:dyDescent="0.35">
      <c r="A87" s="16" t="s">
        <v>333</v>
      </c>
      <c r="B87" s="16" t="s">
        <v>296</v>
      </c>
      <c r="C87" s="16" t="s">
        <v>297</v>
      </c>
      <c r="D87" s="18" t="s">
        <v>298</v>
      </c>
      <c r="E87" s="16" t="s">
        <v>327</v>
      </c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</row>
    <row r="88" spans="1:16" x14ac:dyDescent="0.35">
      <c r="A88" s="16" t="s">
        <v>333</v>
      </c>
      <c r="B88" s="16" t="s">
        <v>299</v>
      </c>
      <c r="C88" s="16" t="s">
        <v>300</v>
      </c>
      <c r="D88" s="18" t="s">
        <v>301</v>
      </c>
      <c r="E88" s="16" t="s">
        <v>327</v>
      </c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</row>
    <row r="89" spans="1:16" x14ac:dyDescent="0.35">
      <c r="A89" s="16" t="s">
        <v>333</v>
      </c>
      <c r="B89" s="16" t="s">
        <v>302</v>
      </c>
      <c r="C89" s="16" t="s">
        <v>303</v>
      </c>
      <c r="D89" s="18" t="s">
        <v>304</v>
      </c>
      <c r="E89" s="16" t="s">
        <v>327</v>
      </c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</row>
    <row r="90" spans="1:16" x14ac:dyDescent="0.35">
      <c r="A90" s="16" t="s">
        <v>333</v>
      </c>
      <c r="B90" s="16" t="s">
        <v>305</v>
      </c>
      <c r="C90" s="16" t="s">
        <v>306</v>
      </c>
      <c r="D90" s="18" t="s">
        <v>307</v>
      </c>
      <c r="E90" s="16" t="s">
        <v>327</v>
      </c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</row>
    <row r="91" spans="1:16" x14ac:dyDescent="0.35">
      <c r="A91" s="16" t="s">
        <v>333</v>
      </c>
      <c r="B91" s="16" t="s">
        <v>308</v>
      </c>
      <c r="C91" s="16" t="s">
        <v>309</v>
      </c>
      <c r="D91" s="18" t="s">
        <v>310</v>
      </c>
      <c r="E91" s="16" t="s">
        <v>327</v>
      </c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</row>
    <row r="92" spans="1:16" x14ac:dyDescent="0.35">
      <c r="A92" s="16" t="s">
        <v>333</v>
      </c>
      <c r="B92" s="16" t="s">
        <v>311</v>
      </c>
      <c r="C92" s="16" t="s">
        <v>312</v>
      </c>
      <c r="D92" s="18" t="s">
        <v>313</v>
      </c>
      <c r="E92" s="16" t="s">
        <v>327</v>
      </c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</row>
    <row r="93" spans="1:16" x14ac:dyDescent="0.35">
      <c r="A93" s="16" t="s">
        <v>333</v>
      </c>
      <c r="B93" s="16" t="s">
        <v>314</v>
      </c>
      <c r="C93" s="16" t="s">
        <v>315</v>
      </c>
      <c r="D93" s="18" t="s">
        <v>316</v>
      </c>
      <c r="E93" s="16" t="s">
        <v>327</v>
      </c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</row>
    <row r="94" spans="1:16" x14ac:dyDescent="0.35">
      <c r="A94" s="16" t="s">
        <v>333</v>
      </c>
      <c r="B94" s="16" t="s">
        <v>317</v>
      </c>
      <c r="C94" s="16" t="s">
        <v>318</v>
      </c>
      <c r="D94" s="18" t="s">
        <v>319</v>
      </c>
      <c r="E94" s="16" t="s">
        <v>327</v>
      </c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</row>
    <row r="95" spans="1:16" x14ac:dyDescent="0.35">
      <c r="A95" s="16" t="s">
        <v>333</v>
      </c>
      <c r="B95" s="16" t="s">
        <v>320</v>
      </c>
      <c r="C95" s="16" t="s">
        <v>321</v>
      </c>
      <c r="D95" s="18" t="s">
        <v>322</v>
      </c>
      <c r="E95" s="16" t="s">
        <v>327</v>
      </c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</row>
  </sheetData>
  <dataValidations count="4">
    <dataValidation type="list" allowBlank="1" showInputMessage="1" showErrorMessage="1" sqref="F3:F5" xr:uid="{FA6C8165-F480-4F14-9312-67A4BBC97AB2}">
      <formula1>"Applicable, Not Applicable"</formula1>
    </dataValidation>
    <dataValidation type="list" allowBlank="1" showInputMessage="1" showErrorMessage="1" sqref="I3" xr:uid="{C36BC0B3-477D-4FFE-994C-DEC1607DE8C2}">
      <formula1>"Implemented, Partially Implemented, Not Implemented"</formula1>
    </dataValidation>
    <dataValidation type="list" allowBlank="1" showInputMessage="1" showErrorMessage="1" sqref="L3" xr:uid="{3C331F6F-354C-426D-8DBE-BD1E774D2327}">
      <formula1>"High,Low,Medium"</formula1>
    </dataValidation>
    <dataValidation type="list" allowBlank="1" showInputMessage="1" showErrorMessage="1" sqref="P3" xr:uid="{E6A1FDA2-A7A8-4434-8D95-173A45D7DA84}">
      <formula1>"Open,In Progress,Closed"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AA5DD-AFE5-44DF-BAEC-AFB1C11EBC54}">
  <dimension ref="A1:H4"/>
  <sheetViews>
    <sheetView showGridLines="0" workbookViewId="0">
      <selection activeCell="A2" sqref="A2"/>
    </sheetView>
  </sheetViews>
  <sheetFormatPr defaultRowHeight="14.5" x14ac:dyDescent="0.35"/>
  <cols>
    <col min="2" max="2" width="13.453125" customWidth="1"/>
    <col min="3" max="3" width="14.7265625" customWidth="1"/>
    <col min="4" max="4" width="12.81640625" customWidth="1"/>
    <col min="5" max="5" width="11.6328125" customWidth="1"/>
    <col min="6" max="6" width="13.54296875" customWidth="1"/>
    <col min="7" max="7" width="11.7265625" customWidth="1"/>
    <col min="8" max="8" width="12.90625" customWidth="1"/>
  </cols>
  <sheetData>
    <row r="1" spans="1:8" ht="23.5" x14ac:dyDescent="0.35">
      <c r="A1" s="9" t="s">
        <v>356</v>
      </c>
    </row>
    <row r="2" spans="1:8" ht="43.5" x14ac:dyDescent="0.35">
      <c r="A2" s="10" t="s">
        <v>36</v>
      </c>
      <c r="B2" s="10" t="s">
        <v>37</v>
      </c>
      <c r="C2" s="10" t="s">
        <v>17</v>
      </c>
      <c r="D2" s="10" t="s">
        <v>18</v>
      </c>
      <c r="E2" s="10" t="s">
        <v>31</v>
      </c>
      <c r="F2" s="10" t="s">
        <v>20</v>
      </c>
      <c r="G2" s="10" t="s">
        <v>21</v>
      </c>
      <c r="H2" s="10" t="s">
        <v>22</v>
      </c>
    </row>
    <row r="3" spans="1:8" ht="72.5" x14ac:dyDescent="0.35">
      <c r="A3" s="11" t="s">
        <v>38</v>
      </c>
      <c r="B3" s="11" t="s">
        <v>25</v>
      </c>
      <c r="C3" s="11" t="s">
        <v>39</v>
      </c>
      <c r="D3" s="11" t="s">
        <v>40</v>
      </c>
      <c r="E3" s="11" t="s">
        <v>41</v>
      </c>
      <c r="F3" s="11" t="s">
        <v>26</v>
      </c>
      <c r="G3" s="13">
        <v>46096</v>
      </c>
      <c r="H3" s="11" t="s">
        <v>24</v>
      </c>
    </row>
    <row r="4" spans="1:8" ht="43.5" x14ac:dyDescent="0.35">
      <c r="A4" s="11" t="s">
        <v>42</v>
      </c>
      <c r="B4" s="11" t="s">
        <v>43</v>
      </c>
      <c r="C4" s="11" t="s">
        <v>44</v>
      </c>
      <c r="D4" s="11" t="s">
        <v>40</v>
      </c>
      <c r="E4" s="11" t="s">
        <v>45</v>
      </c>
      <c r="F4" s="11" t="s">
        <v>46</v>
      </c>
      <c r="G4" s="13">
        <v>46172</v>
      </c>
      <c r="H4" s="11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B7CFB-BCD3-4316-B15B-25A6D44FF9E2}">
  <dimension ref="A1:B12"/>
  <sheetViews>
    <sheetView showGridLines="0" workbookViewId="0"/>
  </sheetViews>
  <sheetFormatPr defaultRowHeight="14.5" x14ac:dyDescent="0.35"/>
  <cols>
    <col min="1" max="1" width="59.1796875" bestFit="1" customWidth="1"/>
  </cols>
  <sheetData>
    <row r="1" spans="1:2" ht="31" x14ac:dyDescent="0.35">
      <c r="A1" s="4" t="s">
        <v>352</v>
      </c>
    </row>
    <row r="2" spans="1:2" ht="17.5" x14ac:dyDescent="0.35">
      <c r="A2" s="6" t="s">
        <v>336</v>
      </c>
    </row>
    <row r="4" spans="1:2" ht="15.5" x14ac:dyDescent="0.35">
      <c r="A4" s="19" t="s">
        <v>337</v>
      </c>
      <c r="B4" s="20">
        <f>AVERAGEIF(Controls!J:J,"&gt;0")</f>
        <v>100</v>
      </c>
    </row>
    <row r="5" spans="1:2" ht="15.5" x14ac:dyDescent="0.35">
      <c r="A5" s="19" t="s">
        <v>338</v>
      </c>
      <c r="B5" s="20">
        <f>COUNTIFS(Controls!L:L,"High",Controls!P:P,"Open")</f>
        <v>1</v>
      </c>
    </row>
    <row r="6" spans="1:2" ht="15.5" x14ac:dyDescent="0.35">
      <c r="A6" s="19" t="s">
        <v>339</v>
      </c>
      <c r="B6" s="20">
        <f>COUNTIF(Controls!I:I,"Not Implemented")</f>
        <v>0</v>
      </c>
    </row>
    <row r="9" spans="1:2" ht="17.5" x14ac:dyDescent="0.35">
      <c r="A9" s="6" t="s">
        <v>343</v>
      </c>
    </row>
    <row r="10" spans="1:2" x14ac:dyDescent="0.35">
      <c r="A10" s="8" t="s">
        <v>340</v>
      </c>
    </row>
    <row r="11" spans="1:2" x14ac:dyDescent="0.35">
      <c r="A11" s="8" t="s">
        <v>341</v>
      </c>
    </row>
    <row r="12" spans="1:2" x14ac:dyDescent="0.35">
      <c r="A12" s="8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</vt:lpstr>
      <vt:lpstr>Scope</vt:lpstr>
      <vt:lpstr>Gap Assessment</vt:lpstr>
      <vt:lpstr>Scoring &amp; Lists</vt:lpstr>
      <vt:lpstr>Controls</vt:lpstr>
      <vt:lpstr>Gap Summary</vt:lpstr>
      <vt:lpstr>Management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Devanath R</dc:creator>
  <cp:lastModifiedBy>Devanath R</cp:lastModifiedBy>
  <dcterms:created xsi:type="dcterms:W3CDTF">2015-06-05T18:17:20Z</dcterms:created>
  <dcterms:modified xsi:type="dcterms:W3CDTF">2026-02-17T10:52:21Z</dcterms:modified>
</cp:coreProperties>
</file>