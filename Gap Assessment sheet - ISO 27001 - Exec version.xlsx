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deva\Downloads\"/>
    </mc:Choice>
  </mc:AlternateContent>
  <xr:revisionPtr revIDLastSave="0" documentId="13_ncr:1_{4943E1F8-6380-437A-AD65-EFD759058B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ex" sheetId="1" r:id="rId1"/>
    <sheet name="Dashboard" sheetId="8" r:id="rId2"/>
    <sheet name="Gap Assessment" sheetId="3" r:id="rId3"/>
    <sheet name="NA_Justifications" sheetId="7" state="hidden" r:id="rId4"/>
  </sheets>
  <definedNames>
    <definedName name="_xlnm._FilterDatabase" localSheetId="2" hidden="1">'Gap Assessment'!$B$1:$O$1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8" l="1"/>
  <c r="M13" i="8"/>
  <c r="D21" i="8"/>
  <c r="D20" i="8"/>
  <c r="D6" i="8"/>
  <c r="D7" i="8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" i="3"/>
  <c r="D8" i="8" l="1"/>
  <c r="D9" i="8"/>
  <c r="R4" i="3"/>
  <c r="R3" i="3"/>
</calcChain>
</file>

<file path=xl/sharedStrings.xml><?xml version="1.0" encoding="utf-8"?>
<sst xmlns="http://schemas.openxmlformats.org/spreadsheetml/2006/main" count="208" uniqueCount="119">
  <si>
    <t>Governance, Leadership &amp; Accountability</t>
  </si>
  <si>
    <t>G1</t>
  </si>
  <si>
    <t>Roles, responsibilities, and accountability defined</t>
  </si>
  <si>
    <t>High</t>
  </si>
  <si>
    <t>CEO / CISO</t>
  </si>
  <si>
    <t>G2</t>
  </si>
  <si>
    <t>Privacy, security, quality &amp; AI policies approved</t>
  </si>
  <si>
    <t>Compliance Lead</t>
  </si>
  <si>
    <t>G3</t>
  </si>
  <si>
    <t>Management commitment &amp; review established</t>
  </si>
  <si>
    <t>Medium</t>
  </si>
  <si>
    <t>Leadership Team</t>
  </si>
  <si>
    <t>G4</t>
  </si>
  <si>
    <t>Grievance &amp; escalation mechanisms defined</t>
  </si>
  <si>
    <t>Support Lead</t>
  </si>
  <si>
    <t>Risk Management (Security, Privacy &amp; AI)</t>
  </si>
  <si>
    <t>R1</t>
  </si>
  <si>
    <t>Data, security &amp; AI risks identified</t>
  </si>
  <si>
    <t>Risk Owner</t>
  </si>
  <si>
    <t>R2</t>
  </si>
  <si>
    <t>Risks assessed &amp; prioritised</t>
  </si>
  <si>
    <t>R3</t>
  </si>
  <si>
    <t>Risk treatment implemented</t>
  </si>
  <si>
    <t>Control Owner</t>
  </si>
  <si>
    <t>R4</t>
  </si>
  <si>
    <t>Residual risk accepted by management</t>
  </si>
  <si>
    <t>CEO</t>
  </si>
  <si>
    <t>Data Inventory, Purpose &amp; AI Data Use</t>
  </si>
  <si>
    <t>D1</t>
  </si>
  <si>
    <t>Data &amp; information assets inventoried</t>
  </si>
  <si>
    <t>Data Owner</t>
  </si>
  <si>
    <t>D2</t>
  </si>
  <si>
    <t>Purpose of processing &amp; AI use defined</t>
  </si>
  <si>
    <t>Product Lead</t>
  </si>
  <si>
    <t>D3</t>
  </si>
  <si>
    <t>AI training &amp; inference data documented</t>
  </si>
  <si>
    <t>ML Lead</t>
  </si>
  <si>
    <t>D4</t>
  </si>
  <si>
    <t>Retention &amp; deletion rules defined</t>
  </si>
  <si>
    <t>Secure Development, Operations &amp; AI Lifecycle</t>
  </si>
  <si>
    <t>S1</t>
  </si>
  <si>
    <t>Secure SDLC / MLOps implemented</t>
  </si>
  <si>
    <t>Engineering Lead</t>
  </si>
  <si>
    <t>S2</t>
  </si>
  <si>
    <t>Access control &amp; authentication enforced</t>
  </si>
  <si>
    <t>IT / Cloud Lead</t>
  </si>
  <si>
    <t>S3</t>
  </si>
  <si>
    <t>AI models tested pre-deployment</t>
  </si>
  <si>
    <t>S4</t>
  </si>
  <si>
    <t>Logging &amp; monitoring implemented</t>
  </si>
  <si>
    <t>SRE Lead</t>
  </si>
  <si>
    <t>Incident, Breach &amp; Service Failure Management</t>
  </si>
  <si>
    <t>I1</t>
  </si>
  <si>
    <t>Incident &amp; breach response defined</t>
  </si>
  <si>
    <t>Security Lead</t>
  </si>
  <si>
    <t>I2</t>
  </si>
  <si>
    <t>Incidents logged &amp; investigated</t>
  </si>
  <si>
    <t>Ops Lead</t>
  </si>
  <si>
    <t>I3</t>
  </si>
  <si>
    <t>Corrective actions tracked</t>
  </si>
  <si>
    <t>Process Owner</t>
  </si>
  <si>
    <t>Responsibility</t>
  </si>
  <si>
    <t>Incidents &amp; grievances</t>
  </si>
  <si>
    <t>Control Group</t>
  </si>
  <si>
    <t>Control ID</t>
  </si>
  <si>
    <t>Control Description</t>
  </si>
  <si>
    <t>ISO 27001 (Y/N)</t>
  </si>
  <si>
    <t>ISO 42001 (Y/N)</t>
  </si>
  <si>
    <t>ISO 9001 (Y/N)</t>
  </si>
  <si>
    <t>Applicability (Dropdown: A / NA)</t>
  </si>
  <si>
    <t>NA Justification</t>
  </si>
  <si>
    <t>Risk Rating (Dropdown: High / Medium / Low)</t>
  </si>
  <si>
    <t>Implementation Status (I / PI / NI)</t>
  </si>
  <si>
    <t>Evidence Reference</t>
  </si>
  <si>
    <t>Last Reviewed</t>
  </si>
  <si>
    <t>Next Review Date</t>
  </si>
  <si>
    <t>Y</t>
  </si>
  <si>
    <t>Category</t>
  </si>
  <si>
    <t>Approved NA Language</t>
  </si>
  <si>
    <t>Cloud-only ops</t>
  </si>
  <si>
    <t>AI scope</t>
  </si>
  <si>
    <t>Physical security</t>
  </si>
  <si>
    <t>Personal data</t>
  </si>
  <si>
    <t>Hardware</t>
  </si>
  <si>
    <t>Continuous learning</t>
  </si>
  <si>
    <t>Physical Controls</t>
  </si>
  <si>
    <t>Cloud-first model; no on-prem infrastructure</t>
  </si>
  <si>
    <t>High-Risk AI</t>
  </si>
  <si>
    <t>No high-risk or autonomous AI systems</t>
  </si>
  <si>
    <t>The organisation operates a cloud-first model and does not manage on-premise infrastructure.</t>
  </si>
  <si>
    <t>AI systems are advisory and subject to human oversight; no autonomous decision-making is performed.</t>
  </si>
  <si>
    <t>Physical data centre security is managed by ISO-certified cloud providers.</t>
  </si>
  <si>
    <t>AI systems process anonymised or customer-provided data only.</t>
  </si>
  <si>
    <t>No specialised or embedded hardware is in scope.</t>
  </si>
  <si>
    <t>AI models do not perform autonomous learning in production.</t>
  </si>
  <si>
    <t>Role</t>
  </si>
  <si>
    <t>Governance, risk acceptance</t>
  </si>
  <si>
    <t>Secure SDLC</t>
  </si>
  <si>
    <r>
      <t>Risk Rating guidance
High</t>
    </r>
    <r>
      <rPr>
        <sz val="11"/>
        <color theme="1"/>
        <rFont val="Calibri"/>
        <family val="2"/>
        <scheme val="minor"/>
      </rPr>
      <t xml:space="preserve"> = Regulatory breach, major outage, AI harm, or customer trust impact</t>
    </r>
    <r>
      <rPr>
        <b/>
        <sz val="11"/>
        <color theme="1"/>
        <rFont val="Calibri"/>
        <family val="2"/>
        <scheme val="minor"/>
      </rPr>
      <t xml:space="preserve">
Medium</t>
    </r>
    <r>
      <rPr>
        <sz val="11"/>
        <color theme="1"/>
        <rFont val="Calibri"/>
        <family val="2"/>
        <scheme val="minor"/>
      </rPr>
      <t xml:space="preserve"> = Operational disruption or customer dissatisfaction</t>
    </r>
    <r>
      <rPr>
        <b/>
        <sz val="11"/>
        <color theme="1"/>
        <rFont val="Calibri"/>
        <family val="2"/>
        <scheme val="minor"/>
      </rPr>
      <t xml:space="preserve">
Low</t>
    </r>
    <r>
      <rPr>
        <sz val="11"/>
        <color theme="1"/>
        <rFont val="Calibri"/>
        <family val="2"/>
        <scheme val="minor"/>
      </rPr>
      <t xml:space="preserve"> = Limited impact, internal inefficiency</t>
    </r>
  </si>
  <si>
    <r>
      <t>Legend
Applicability</t>
    </r>
    <r>
      <rPr>
        <sz val="11"/>
        <color theme="1"/>
        <rFont val="Calibri"/>
        <family val="2"/>
        <scheme val="minor"/>
      </rPr>
      <t xml:space="preserve">: A = Applicable, NA = Not Applicable
</t>
    </r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>: I = Implemented, PI = Partially Implemented, NI = Not Implemented</t>
    </r>
    <r>
      <rPr>
        <b/>
        <sz val="11"/>
        <color theme="1"/>
        <rFont val="Calibri"/>
        <family val="2"/>
        <scheme val="minor"/>
      </rPr>
      <t xml:space="preserve">		</t>
    </r>
  </si>
  <si>
    <t>Point of Contact</t>
  </si>
  <si>
    <t>Risk Score</t>
  </si>
  <si>
    <t>Residual Risk</t>
  </si>
  <si>
    <t>Control Effectiveness</t>
  </si>
  <si>
    <t>Implemented</t>
  </si>
  <si>
    <t>Total Applicable</t>
  </si>
  <si>
    <t>A. Audit Readiness (% Implemented)</t>
  </si>
  <si>
    <t>% Implemented</t>
  </si>
  <si>
    <t>B. Control Status Breakdown</t>
  </si>
  <si>
    <t>Partially Implemented</t>
  </si>
  <si>
    <t>Not Implemented</t>
  </si>
  <si>
    <t>C. High-Risk Open Controls</t>
  </si>
  <si>
    <t>High-Risk Open Items</t>
  </si>
  <si>
    <t>#</t>
  </si>
  <si>
    <t>Pending Implementation</t>
  </si>
  <si>
    <t>DPDP/GDPR
(Y/N)</t>
  </si>
  <si>
    <t>Compliance &amp; Audits</t>
  </si>
  <si>
    <t>prepared by</t>
  </si>
  <si>
    <t>Devanath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</si>
</sst>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3" borderId="10" xfId="0" applyFont="1" applyFill="1" applyBorder="1"/>
    <xf numFmtId="0" fontId="0" fillId="4" borderId="11" xfId="0" applyFill="1" applyBorder="1"/>
    <xf numFmtId="0" fontId="1" fillId="0" borderId="0" xfId="0" applyFont="1" applyAlignment="1">
      <alignment wrapText="1"/>
    </xf>
    <xf numFmtId="0" fontId="5" fillId="0" borderId="0" xfId="1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2">
    <dxf>
      <fill>
        <patternFill>
          <bgColor rgb="FFC000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C000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Status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Dashboard!$D$18</c:f>
              <c:strCache>
                <c:ptCount val="1"/>
                <c:pt idx="0">
                  <c:v>#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BF-4F79-94A0-A0CC9708D0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12-4CF3-B523-66119BA39659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0BF-4F79-94A0-A0CC9708D088}"/>
              </c:ext>
            </c:extLst>
          </c:dPt>
          <c:cat>
            <c:strRef>
              <c:f>Dashboard!$C$19:$C$21</c:f>
              <c:strCache>
                <c:ptCount val="3"/>
                <c:pt idx="0">
                  <c:v>Implemented</c:v>
                </c:pt>
                <c:pt idx="1">
                  <c:v>Partially Implemented</c:v>
                </c:pt>
                <c:pt idx="2">
                  <c:v>Not Implemented</c:v>
                </c:pt>
              </c:strCache>
            </c:strRef>
          </c:cat>
          <c:val>
            <c:numRef>
              <c:f>Dashboard!$D$19:$D$21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F-4F79-94A0-A0CC9708D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Audit Readiness %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E3-461D-9B21-75B4A1E689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E3-461D-9B21-75B4A1E68975}"/>
              </c:ext>
            </c:extLst>
          </c:dPt>
          <c:cat>
            <c:strRef>
              <c:f>Dashboard!$C$7:$C$8</c:f>
              <c:strCache>
                <c:ptCount val="2"/>
                <c:pt idx="0">
                  <c:v>Implemented</c:v>
                </c:pt>
                <c:pt idx="1">
                  <c:v>Pending Implementation</c:v>
                </c:pt>
              </c:strCache>
            </c:strRef>
          </c:cat>
          <c:val>
            <c:numRef>
              <c:f>Dashboard!$D$7:$D$8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8-4CD3-A972-E3754630F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587375</xdr:colOff>
      <xdr:row>15</xdr:row>
      <xdr:rowOff>0</xdr:rowOff>
    </xdr:from>
    <xdr:to>
      <xdr:col>8</xdr:col>
      <xdr:colOff>76200</xdr:colOff>
      <xdr:row>23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D1374E-458E-EF38-600D-E3A9F3CD9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568325</xdr:colOff>
      <xdr:row>1</xdr:row>
      <xdr:rowOff>57150</xdr:rowOff>
    </xdr:from>
    <xdr:to>
      <xdr:col>8</xdr:col>
      <xdr:colOff>88900</xdr:colOff>
      <xdr:row>12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CEC1140-EB27-EA4A-14BB-9AB406D1A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71FD07-42AE-4F65-B17F-157D21822DF6}" name="Table4" displayName="Table4" ref="C18:D21" totalsRowShown="0">
  <autoFilter ref="C18:D21" xr:uid="{7771FD07-42AE-4F65-B17F-157D21822DF6}"/>
  <tableColumns count="2">
    <tableColumn id="1" xr3:uid="{33567BD1-4EB7-4DBB-8F94-1D553D04DF79}" name="B. Control Status Breakdown"/>
    <tableColumn id="2" xr3:uid="{B5A4507A-6E85-485B-8088-DDF852D44B40}" name="#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2BAC50-FF3D-41E1-AF4B-AC10A3C567E7}" name="Table5" displayName="Table5" ref="C5:D9" totalsRowShown="0">
  <autoFilter ref="C5:D9" xr:uid="{F92BAC50-FF3D-41E1-AF4B-AC10A3C567E7}"/>
  <tableColumns count="2">
    <tableColumn id="1" xr3:uid="{97DDC2A2-80E1-4FDE-9128-9B51955F6304}" name="A. Audit Readiness (% Implemented)"/>
    <tableColumn id="2" xr3:uid="{E2ED0F0C-1B84-4198-9B3D-42D8FE3310AB}" name="#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rdevanath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0"/>
  <sheetViews>
    <sheetView showGridLines="0" tabSelected="1" workbookViewId="0">
      <selection activeCell="B1" sqref="B1:D1"/>
    </sheetView>
  </sheetViews>
  <sheetFormatPr defaultRowHeight="14.5" x14ac:dyDescent="0.35"/>
  <cols>
    <col min="1" max="1" width="13.81640625" customWidth="1"/>
    <col min="2" max="2" width="15.36328125" customWidth="1"/>
    <col min="3" max="3" width="25.7265625" customWidth="1"/>
    <col min="4" max="4" width="19.08984375" customWidth="1"/>
    <col min="5" max="5" width="11.90625" customWidth="1"/>
    <col min="9" max="9" width="13.36328125" customWidth="1"/>
    <col min="10" max="10" width="13.90625" customWidth="1"/>
  </cols>
  <sheetData>
    <row r="1" spans="2:5" ht="31" x14ac:dyDescent="0.35">
      <c r="B1" s="31"/>
      <c r="C1" s="31"/>
      <c r="D1" s="31"/>
    </row>
    <row r="3" spans="2:5" x14ac:dyDescent="0.35">
      <c r="B3" s="7" t="s">
        <v>95</v>
      </c>
      <c r="C3" s="7" t="s">
        <v>61</v>
      </c>
      <c r="D3" s="10" t="s">
        <v>100</v>
      </c>
    </row>
    <row r="4" spans="2:5" x14ac:dyDescent="0.35">
      <c r="B4" s="8" t="s">
        <v>26</v>
      </c>
      <c r="C4" s="8" t="s">
        <v>96</v>
      </c>
      <c r="D4" s="9"/>
    </row>
    <row r="5" spans="2:5" x14ac:dyDescent="0.35">
      <c r="B5" s="8" t="s">
        <v>7</v>
      </c>
      <c r="C5" s="8" t="s">
        <v>116</v>
      </c>
      <c r="D5" s="9"/>
    </row>
    <row r="6" spans="2:5" x14ac:dyDescent="0.35">
      <c r="B6" s="8" t="s">
        <v>42</v>
      </c>
      <c r="C6" s="8" t="s">
        <v>97</v>
      </c>
      <c r="D6" s="9"/>
    </row>
    <row r="7" spans="2:5" x14ac:dyDescent="0.35">
      <c r="B7" s="8" t="s">
        <v>14</v>
      </c>
      <c r="C7" s="8" t="s">
        <v>62</v>
      </c>
      <c r="D7" s="9"/>
    </row>
    <row r="9" spans="2:5" x14ac:dyDescent="0.35">
      <c r="B9" s="32" t="s">
        <v>98</v>
      </c>
      <c r="C9" s="33"/>
      <c r="D9" s="33"/>
      <c r="E9" s="33"/>
    </row>
    <row r="10" spans="2:5" x14ac:dyDescent="0.35">
      <c r="B10" s="33"/>
      <c r="C10" s="33"/>
      <c r="D10" s="33"/>
      <c r="E10" s="33"/>
    </row>
    <row r="11" spans="2:5" x14ac:dyDescent="0.35">
      <c r="B11" s="33"/>
      <c r="C11" s="33"/>
      <c r="D11" s="33"/>
      <c r="E11" s="33"/>
    </row>
    <row r="12" spans="2:5" x14ac:dyDescent="0.35">
      <c r="B12" s="33"/>
      <c r="C12" s="33"/>
      <c r="D12" s="33"/>
      <c r="E12" s="33"/>
    </row>
    <row r="14" spans="2:5" ht="17.5" customHeight="1" x14ac:dyDescent="0.35">
      <c r="B14" s="34" t="s">
        <v>99</v>
      </c>
      <c r="C14" s="35"/>
      <c r="D14" s="35"/>
      <c r="E14" s="35"/>
    </row>
    <row r="15" spans="2:5" x14ac:dyDescent="0.35">
      <c r="B15" s="35"/>
      <c r="C15" s="35"/>
      <c r="D15" s="35"/>
      <c r="E15" s="35"/>
    </row>
    <row r="16" spans="2:5" x14ac:dyDescent="0.35">
      <c r="B16" s="35"/>
      <c r="C16" s="35"/>
      <c r="D16" s="35"/>
      <c r="E16" s="35"/>
    </row>
    <row r="17" spans="2:6" x14ac:dyDescent="0.35">
      <c r="B17" s="35"/>
      <c r="C17" s="35"/>
      <c r="D17" s="35"/>
      <c r="E17" s="35"/>
    </row>
    <row r="20" spans="2:6" x14ac:dyDescent="0.35">
      <c r="E20" t="s">
        <v>117</v>
      </c>
      <c r="F20" s="30" t="s">
        <v>118</v>
      </c>
    </row>
  </sheetData>
  <mergeCells count="3">
    <mergeCell ref="B1:D1"/>
    <mergeCell ref="B9:E12"/>
    <mergeCell ref="B14:E17"/>
  </mergeCells>
  <hyperlinks>
    <hyperlink ref="F20" r:id="rId1" xr:uid="{0557EFC5-D067-4FF9-8A23-8991CE60496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AB25-FF87-47AC-9F76-137915C322BE}">
  <dimension ref="B2:N24"/>
  <sheetViews>
    <sheetView showGridLines="0" workbookViewId="0"/>
  </sheetViews>
  <sheetFormatPr defaultRowHeight="14.5" x14ac:dyDescent="0.35"/>
  <cols>
    <col min="1" max="1" width="4.7265625" customWidth="1"/>
    <col min="2" max="2" width="3" customWidth="1"/>
    <col min="3" max="3" width="33.26953125" customWidth="1"/>
    <col min="4" max="4" width="6.08984375" style="14" customWidth="1"/>
    <col min="6" max="6" width="27.54296875" customWidth="1"/>
    <col min="7" max="7" width="8.81640625" customWidth="1"/>
    <col min="10" max="10" width="6" customWidth="1"/>
    <col min="11" max="11" width="2" customWidth="1"/>
    <col min="12" max="12" width="23.453125" customWidth="1"/>
    <col min="14" max="14" width="2.7265625" customWidth="1"/>
  </cols>
  <sheetData>
    <row r="2" spans="2:14" x14ac:dyDescent="0.35">
      <c r="B2" s="16"/>
      <c r="C2" s="17"/>
      <c r="D2" s="24"/>
      <c r="E2" s="17"/>
      <c r="F2" s="17"/>
      <c r="G2" s="17"/>
      <c r="H2" s="17"/>
      <c r="I2" s="18"/>
    </row>
    <row r="3" spans="2:14" x14ac:dyDescent="0.35">
      <c r="B3" s="19"/>
      <c r="I3" s="20"/>
    </row>
    <row r="4" spans="2:14" x14ac:dyDescent="0.35">
      <c r="B4" s="19"/>
      <c r="I4" s="20"/>
    </row>
    <row r="5" spans="2:14" x14ac:dyDescent="0.35">
      <c r="B5" s="19"/>
      <c r="C5" t="s">
        <v>106</v>
      </c>
      <c r="D5" s="14" t="s">
        <v>113</v>
      </c>
      <c r="I5" s="20"/>
    </row>
    <row r="6" spans="2:14" x14ac:dyDescent="0.35">
      <c r="B6" s="19"/>
      <c r="C6" t="s">
        <v>105</v>
      </c>
      <c r="D6" s="14">
        <f>COUNTIF('Gap Assessment'!H:H,"A")</f>
        <v>0</v>
      </c>
      <c r="I6" s="20"/>
    </row>
    <row r="7" spans="2:14" x14ac:dyDescent="0.35">
      <c r="B7" s="19"/>
      <c r="C7" t="s">
        <v>104</v>
      </c>
      <c r="D7" s="14">
        <f>COUNTIF('Gap Assessment'!L:L,"I")</f>
        <v>0</v>
      </c>
      <c r="I7" s="20"/>
    </row>
    <row r="8" spans="2:14" x14ac:dyDescent="0.35">
      <c r="B8" s="19"/>
      <c r="C8" t="s">
        <v>114</v>
      </c>
      <c r="D8" s="14">
        <f>D6-D7</f>
        <v>0</v>
      </c>
      <c r="I8" s="20"/>
    </row>
    <row r="9" spans="2:14" x14ac:dyDescent="0.35">
      <c r="B9" s="19"/>
      <c r="C9" t="s">
        <v>107</v>
      </c>
      <c r="D9" s="25" t="e">
        <f>D7/D6</f>
        <v>#DIV/0!</v>
      </c>
      <c r="I9" s="20"/>
    </row>
    <row r="10" spans="2:14" x14ac:dyDescent="0.35">
      <c r="B10" s="19"/>
      <c r="I10" s="20"/>
    </row>
    <row r="11" spans="2:14" x14ac:dyDescent="0.35">
      <c r="B11" s="19"/>
      <c r="I11" s="20"/>
    </row>
    <row r="12" spans="2:14" x14ac:dyDescent="0.35">
      <c r="B12" s="19"/>
      <c r="I12" s="20"/>
      <c r="K12" s="16"/>
      <c r="L12" s="17"/>
      <c r="M12" s="17"/>
      <c r="N12" s="18"/>
    </row>
    <row r="13" spans="2:14" x14ac:dyDescent="0.35">
      <c r="B13" s="21"/>
      <c r="C13" s="22"/>
      <c r="D13" s="26"/>
      <c r="E13" s="22"/>
      <c r="F13" s="22"/>
      <c r="G13" s="22"/>
      <c r="H13" s="22"/>
      <c r="I13" s="23"/>
      <c r="K13" s="19"/>
      <c r="L13" s="27" t="s">
        <v>111</v>
      </c>
      <c r="M13" s="36">
        <f>COUNTIFS('Gap Assessment'!J:J,"High",'Gap Assessment'!L:L,"&lt;&gt;I",'Gap Assessment'!H:H,"A")</f>
        <v>0</v>
      </c>
      <c r="N13" s="20"/>
    </row>
    <row r="14" spans="2:14" x14ac:dyDescent="0.35">
      <c r="K14" s="19"/>
      <c r="L14" s="28" t="s">
        <v>112</v>
      </c>
      <c r="M14" s="37"/>
      <c r="N14" s="20"/>
    </row>
    <row r="15" spans="2:14" x14ac:dyDescent="0.35">
      <c r="B15" s="16"/>
      <c r="C15" s="17"/>
      <c r="D15" s="24"/>
      <c r="E15" s="17"/>
      <c r="F15" s="17"/>
      <c r="G15" s="17"/>
      <c r="H15" s="17"/>
      <c r="I15" s="18"/>
      <c r="K15" s="21"/>
      <c r="L15" s="22"/>
      <c r="M15" s="22"/>
      <c r="N15" s="23"/>
    </row>
    <row r="16" spans="2:14" x14ac:dyDescent="0.35">
      <c r="B16" s="19"/>
      <c r="I16" s="20"/>
    </row>
    <row r="17" spans="2:9" x14ac:dyDescent="0.35">
      <c r="B17" s="19"/>
      <c r="I17" s="20"/>
    </row>
    <row r="18" spans="2:9" x14ac:dyDescent="0.35">
      <c r="B18" s="19"/>
      <c r="C18" t="s">
        <v>108</v>
      </c>
      <c r="D18" s="14" t="s">
        <v>113</v>
      </c>
      <c r="I18" s="20"/>
    </row>
    <row r="19" spans="2:9" x14ac:dyDescent="0.35">
      <c r="B19" s="19"/>
      <c r="C19" t="s">
        <v>104</v>
      </c>
      <c r="D19" s="14">
        <f>COUNTIF('Gap Assessment'!L:L,"I")</f>
        <v>0</v>
      </c>
      <c r="I19" s="20"/>
    </row>
    <row r="20" spans="2:9" x14ac:dyDescent="0.35">
      <c r="B20" s="19"/>
      <c r="C20" t="s">
        <v>109</v>
      </c>
      <c r="D20" s="14">
        <f>COUNTIF('Gap Assessment'!L:L,"PI")</f>
        <v>0</v>
      </c>
      <c r="I20" s="20"/>
    </row>
    <row r="21" spans="2:9" x14ac:dyDescent="0.35">
      <c r="B21" s="19"/>
      <c r="C21" t="s">
        <v>110</v>
      </c>
      <c r="D21" s="14">
        <f>COUNTIF('Gap Assessment'!L:L,"NI")</f>
        <v>0</v>
      </c>
      <c r="I21" s="20"/>
    </row>
    <row r="22" spans="2:9" x14ac:dyDescent="0.35">
      <c r="B22" s="19"/>
      <c r="I22" s="20"/>
    </row>
    <row r="23" spans="2:9" x14ac:dyDescent="0.35">
      <c r="B23" s="19"/>
      <c r="I23" s="20"/>
    </row>
    <row r="24" spans="2:9" x14ac:dyDescent="0.35">
      <c r="B24" s="21"/>
      <c r="C24" s="22"/>
      <c r="D24" s="26"/>
      <c r="E24" s="22"/>
      <c r="F24" s="22"/>
      <c r="G24" s="22"/>
      <c r="H24" s="22"/>
      <c r="I24" s="23"/>
    </row>
  </sheetData>
  <mergeCells count="1">
    <mergeCell ref="M13:M14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9CFB-038D-423F-8E73-60BE5092EFA3}">
  <dimension ref="A1:R27"/>
  <sheetViews>
    <sheetView showGridLines="0" workbookViewId="0"/>
  </sheetViews>
  <sheetFormatPr defaultRowHeight="14.5" x14ac:dyDescent="0.35"/>
  <cols>
    <col min="1" max="1" width="15.1796875" style="3" customWidth="1"/>
    <col min="2" max="2" width="9.453125" customWidth="1"/>
    <col min="3" max="3" width="19.26953125" customWidth="1"/>
    <col min="4" max="4" width="6.81640625" customWidth="1"/>
    <col min="5" max="5" width="11" customWidth="1"/>
    <col min="6" max="6" width="10.6328125" customWidth="1"/>
    <col min="7" max="7" width="9.1796875" customWidth="1"/>
    <col min="8" max="8" width="15" customWidth="1"/>
    <col min="9" max="9" width="11.90625" customWidth="1"/>
    <col min="10" max="10" width="17.26953125" customWidth="1"/>
    <col min="11" max="11" width="15.54296875" customWidth="1"/>
    <col min="12" max="12" width="15.1796875" customWidth="1"/>
    <col min="13" max="13" width="10.1796875" customWidth="1"/>
    <col min="16" max="16" width="10.36328125" customWidth="1"/>
    <col min="17" max="17" width="14.08984375" customWidth="1"/>
    <col min="18" max="18" width="10.36328125" customWidth="1"/>
    <col min="20" max="20" width="12" customWidth="1"/>
  </cols>
  <sheetData>
    <row r="1" spans="1:18" s="4" customFormat="1" ht="48" customHeight="1" x14ac:dyDescent="0.35">
      <c r="A1" s="7" t="s">
        <v>63</v>
      </c>
      <c r="B1" s="7" t="s">
        <v>64</v>
      </c>
      <c r="C1" s="7" t="s">
        <v>65</v>
      </c>
      <c r="D1" s="29" t="s">
        <v>115</v>
      </c>
      <c r="E1" s="7" t="s">
        <v>66</v>
      </c>
      <c r="F1" s="7" t="s">
        <v>67</v>
      </c>
      <c r="G1" s="7" t="s">
        <v>68</v>
      </c>
      <c r="H1" s="7" t="s">
        <v>69</v>
      </c>
      <c r="I1" s="7" t="s">
        <v>70</v>
      </c>
      <c r="J1" s="7" t="s">
        <v>71</v>
      </c>
      <c r="K1" s="7" t="s">
        <v>23</v>
      </c>
      <c r="L1" s="7" t="s">
        <v>72</v>
      </c>
      <c r="M1" s="7" t="s">
        <v>73</v>
      </c>
      <c r="N1" s="7" t="s">
        <v>74</v>
      </c>
      <c r="O1" s="7" t="s">
        <v>75</v>
      </c>
      <c r="P1" s="15" t="s">
        <v>101</v>
      </c>
      <c r="Q1" s="15" t="s">
        <v>103</v>
      </c>
      <c r="R1" s="15" t="s">
        <v>102</v>
      </c>
    </row>
    <row r="2" spans="1:18" ht="43.5" x14ac:dyDescent="0.35">
      <c r="A2" s="38" t="s">
        <v>0</v>
      </c>
      <c r="B2" s="8" t="s">
        <v>1</v>
      </c>
      <c r="C2" s="11" t="s">
        <v>2</v>
      </c>
      <c r="D2" s="13" t="s">
        <v>76</v>
      </c>
      <c r="E2" s="13" t="s">
        <v>76</v>
      </c>
      <c r="F2" s="13" t="s">
        <v>76</v>
      </c>
      <c r="G2" s="13" t="s">
        <v>76</v>
      </c>
      <c r="H2" s="12"/>
      <c r="I2" s="9"/>
      <c r="J2" s="8" t="s">
        <v>3</v>
      </c>
      <c r="K2" s="8" t="s">
        <v>4</v>
      </c>
      <c r="L2" s="9"/>
      <c r="M2" s="9"/>
      <c r="N2" s="9"/>
      <c r="O2" s="9"/>
      <c r="P2" s="8" t="str">
        <f>IF($H2="NA","Control marked NA",
IF($H2="","Choose control A/NA",
IF($J2="High",3,
IF($J2="Medium",2,
IF($J2="Low",1,"")))))</f>
        <v>Choose control A/NA</v>
      </c>
      <c r="Q2" s="8" t="str">
        <f>IF($L2="","Choose Implementation Status",
IF($L2="I",1,
IF($L2="PI",0.5,
IF($L2="NI",0, ""))))</f>
        <v>Choose Implementation Status</v>
      </c>
      <c r="R2" s="8" t="str">
        <f>IF($H2="","Choose control A/NA",IF($H2="NA","Control marked NA",$P2*(1-$Q2)))</f>
        <v>Choose control A/NA</v>
      </c>
    </row>
    <row r="3" spans="1:18" ht="43.5" x14ac:dyDescent="0.35">
      <c r="A3" s="38"/>
      <c r="B3" s="8" t="s">
        <v>5</v>
      </c>
      <c r="C3" s="11" t="s">
        <v>6</v>
      </c>
      <c r="D3" s="13" t="s">
        <v>76</v>
      </c>
      <c r="E3" s="13" t="s">
        <v>76</v>
      </c>
      <c r="F3" s="13" t="s">
        <v>76</v>
      </c>
      <c r="G3" s="13" t="s">
        <v>76</v>
      </c>
      <c r="H3" s="12"/>
      <c r="I3" s="9"/>
      <c r="J3" s="8" t="s">
        <v>3</v>
      </c>
      <c r="K3" s="8" t="s">
        <v>7</v>
      </c>
      <c r="L3" s="9"/>
      <c r="M3" s="9"/>
      <c r="N3" s="9"/>
      <c r="O3" s="9"/>
      <c r="P3" s="8" t="str">
        <f t="shared" ref="P3:P20" si="0">IF($H3="NA","Control marked NA",
IF($H3="","Choose control A/NA",
IF($J3="High",3,
IF($J3="Medium",2,
IF($J3="Low",1,"")))))</f>
        <v>Choose control A/NA</v>
      </c>
      <c r="Q3" s="8" t="str">
        <f t="shared" ref="Q3:Q20" si="1">IF($L3="","Choose Implementation Status",
IF($L3="I",1,
IF($L3="PI",0.5,
IF($L3="NI",0, ""))))</f>
        <v>Choose Implementation Status</v>
      </c>
      <c r="R3" s="8" t="str">
        <f t="shared" ref="R3:R20" si="2">IF($H3="","Choose control A/NA",IF($H3="NA","Control marked NA",$P3*(1-$Q3)))</f>
        <v>Choose control A/NA</v>
      </c>
    </row>
    <row r="4" spans="1:18" ht="43.5" x14ac:dyDescent="0.35">
      <c r="A4" s="38"/>
      <c r="B4" s="8" t="s">
        <v>8</v>
      </c>
      <c r="C4" s="11" t="s">
        <v>9</v>
      </c>
      <c r="D4" s="13"/>
      <c r="E4" s="13" t="s">
        <v>76</v>
      </c>
      <c r="F4" s="13" t="s">
        <v>76</v>
      </c>
      <c r="G4" s="13" t="s">
        <v>76</v>
      </c>
      <c r="H4" s="12"/>
      <c r="I4" s="9"/>
      <c r="J4" s="8" t="s">
        <v>10</v>
      </c>
      <c r="K4" s="8" t="s">
        <v>11</v>
      </c>
      <c r="L4" s="9"/>
      <c r="M4" s="9"/>
      <c r="N4" s="9"/>
      <c r="O4" s="9"/>
      <c r="P4" s="8" t="str">
        <f t="shared" si="0"/>
        <v>Choose control A/NA</v>
      </c>
      <c r="Q4" s="8" t="str">
        <f t="shared" si="1"/>
        <v>Choose Implementation Status</v>
      </c>
      <c r="R4" s="8" t="str">
        <f t="shared" si="2"/>
        <v>Choose control A/NA</v>
      </c>
    </row>
    <row r="5" spans="1:18" ht="43.5" x14ac:dyDescent="0.35">
      <c r="A5" s="38"/>
      <c r="B5" s="8" t="s">
        <v>12</v>
      </c>
      <c r="C5" s="11" t="s">
        <v>13</v>
      </c>
      <c r="D5" s="13" t="s">
        <v>76</v>
      </c>
      <c r="E5" s="13"/>
      <c r="F5" s="13" t="s">
        <v>76</v>
      </c>
      <c r="G5" s="13" t="s">
        <v>76</v>
      </c>
      <c r="H5" s="12"/>
      <c r="I5" s="9"/>
      <c r="J5" s="8" t="s">
        <v>10</v>
      </c>
      <c r="K5" s="8" t="s">
        <v>14</v>
      </c>
      <c r="L5" s="9"/>
      <c r="M5" s="9"/>
      <c r="N5" s="9"/>
      <c r="O5" s="9"/>
      <c r="P5" s="8" t="str">
        <f t="shared" si="0"/>
        <v>Choose control A/NA</v>
      </c>
      <c r="Q5" s="8" t="str">
        <f t="shared" si="1"/>
        <v>Choose Implementation Status</v>
      </c>
      <c r="R5" s="8" t="str">
        <f t="shared" si="2"/>
        <v>Choose control A/NA</v>
      </c>
    </row>
    <row r="6" spans="1:18" ht="43.5" x14ac:dyDescent="0.35">
      <c r="A6" s="38" t="s">
        <v>15</v>
      </c>
      <c r="B6" s="8" t="s">
        <v>16</v>
      </c>
      <c r="C6" s="11" t="s">
        <v>17</v>
      </c>
      <c r="D6" s="13" t="s">
        <v>76</v>
      </c>
      <c r="E6" s="13" t="s">
        <v>76</v>
      </c>
      <c r="F6" s="13" t="s">
        <v>76</v>
      </c>
      <c r="G6" s="13" t="s">
        <v>76</v>
      </c>
      <c r="H6" s="12"/>
      <c r="I6" s="9"/>
      <c r="J6" s="8" t="s">
        <v>3</v>
      </c>
      <c r="K6" s="8" t="s">
        <v>18</v>
      </c>
      <c r="L6" s="9"/>
      <c r="M6" s="9"/>
      <c r="N6" s="9"/>
      <c r="O6" s="9"/>
      <c r="P6" s="8" t="str">
        <f t="shared" si="0"/>
        <v>Choose control A/NA</v>
      </c>
      <c r="Q6" s="8" t="str">
        <f t="shared" si="1"/>
        <v>Choose Implementation Status</v>
      </c>
      <c r="R6" s="8" t="str">
        <f t="shared" si="2"/>
        <v>Choose control A/NA</v>
      </c>
    </row>
    <row r="7" spans="1:18" ht="43.5" x14ac:dyDescent="0.35">
      <c r="A7" s="38"/>
      <c r="B7" s="8" t="s">
        <v>19</v>
      </c>
      <c r="C7" s="11" t="s">
        <v>20</v>
      </c>
      <c r="D7" s="13" t="s">
        <v>76</v>
      </c>
      <c r="E7" s="13" t="s">
        <v>76</v>
      </c>
      <c r="F7" s="13" t="s">
        <v>76</v>
      </c>
      <c r="G7" s="13" t="s">
        <v>76</v>
      </c>
      <c r="H7" s="12"/>
      <c r="I7" s="9"/>
      <c r="J7" s="8" t="s">
        <v>3</v>
      </c>
      <c r="K7" s="8" t="s">
        <v>18</v>
      </c>
      <c r="L7" s="9"/>
      <c r="M7" s="9"/>
      <c r="N7" s="9"/>
      <c r="O7" s="9"/>
      <c r="P7" s="8" t="str">
        <f t="shared" si="0"/>
        <v>Choose control A/NA</v>
      </c>
      <c r="Q7" s="8" t="str">
        <f t="shared" si="1"/>
        <v>Choose Implementation Status</v>
      </c>
      <c r="R7" s="8" t="str">
        <f t="shared" si="2"/>
        <v>Choose control A/NA</v>
      </c>
    </row>
    <row r="8" spans="1:18" ht="43.5" x14ac:dyDescent="0.35">
      <c r="A8" s="38"/>
      <c r="B8" s="8" t="s">
        <v>21</v>
      </c>
      <c r="C8" s="11" t="s">
        <v>22</v>
      </c>
      <c r="D8" s="13" t="s">
        <v>76</v>
      </c>
      <c r="E8" s="13" t="s">
        <v>76</v>
      </c>
      <c r="F8" s="13" t="s">
        <v>76</v>
      </c>
      <c r="G8" s="13" t="s">
        <v>76</v>
      </c>
      <c r="H8" s="12"/>
      <c r="I8" s="9"/>
      <c r="J8" s="8" t="s">
        <v>3</v>
      </c>
      <c r="K8" s="8" t="s">
        <v>23</v>
      </c>
      <c r="L8" s="9"/>
      <c r="M8" s="9"/>
      <c r="N8" s="9"/>
      <c r="O8" s="9"/>
      <c r="P8" s="8" t="str">
        <f t="shared" si="0"/>
        <v>Choose control A/NA</v>
      </c>
      <c r="Q8" s="8" t="str">
        <f t="shared" si="1"/>
        <v>Choose Implementation Status</v>
      </c>
      <c r="R8" s="8" t="str">
        <f t="shared" si="2"/>
        <v>Choose control A/NA</v>
      </c>
    </row>
    <row r="9" spans="1:18" ht="43.5" x14ac:dyDescent="0.35">
      <c r="A9" s="38"/>
      <c r="B9" s="8" t="s">
        <v>24</v>
      </c>
      <c r="C9" s="11" t="s">
        <v>25</v>
      </c>
      <c r="D9" s="13"/>
      <c r="E9" s="13" t="s">
        <v>76</v>
      </c>
      <c r="F9" s="13" t="s">
        <v>76</v>
      </c>
      <c r="G9" s="13" t="s">
        <v>76</v>
      </c>
      <c r="H9" s="12"/>
      <c r="I9" s="9"/>
      <c r="J9" s="8" t="s">
        <v>10</v>
      </c>
      <c r="K9" s="8" t="s">
        <v>26</v>
      </c>
      <c r="L9" s="9"/>
      <c r="M9" s="9"/>
      <c r="N9" s="9"/>
      <c r="O9" s="9"/>
      <c r="P9" s="8" t="str">
        <f t="shared" si="0"/>
        <v>Choose control A/NA</v>
      </c>
      <c r="Q9" s="8" t="str">
        <f t="shared" si="1"/>
        <v>Choose Implementation Status</v>
      </c>
      <c r="R9" s="8" t="str">
        <f t="shared" si="2"/>
        <v>Choose control A/NA</v>
      </c>
    </row>
    <row r="10" spans="1:18" ht="43.5" x14ac:dyDescent="0.35">
      <c r="A10" s="38" t="s">
        <v>27</v>
      </c>
      <c r="B10" s="8" t="s">
        <v>28</v>
      </c>
      <c r="C10" s="11" t="s">
        <v>29</v>
      </c>
      <c r="D10" s="13" t="s">
        <v>76</v>
      </c>
      <c r="E10" s="13" t="s">
        <v>76</v>
      </c>
      <c r="F10" s="13"/>
      <c r="G10" s="13" t="s">
        <v>76</v>
      </c>
      <c r="H10" s="12"/>
      <c r="I10" s="9"/>
      <c r="J10" s="8" t="s">
        <v>3</v>
      </c>
      <c r="K10" s="8" t="s">
        <v>30</v>
      </c>
      <c r="L10" s="9"/>
      <c r="M10" s="9"/>
      <c r="N10" s="9"/>
      <c r="O10" s="9"/>
      <c r="P10" s="8" t="str">
        <f t="shared" si="0"/>
        <v>Choose control A/NA</v>
      </c>
      <c r="Q10" s="8" t="str">
        <f t="shared" si="1"/>
        <v>Choose Implementation Status</v>
      </c>
      <c r="R10" s="8" t="str">
        <f t="shared" si="2"/>
        <v>Choose control A/NA</v>
      </c>
    </row>
    <row r="11" spans="1:18" ht="43.5" x14ac:dyDescent="0.35">
      <c r="A11" s="38"/>
      <c r="B11" s="8" t="s">
        <v>31</v>
      </c>
      <c r="C11" s="11" t="s">
        <v>32</v>
      </c>
      <c r="D11" s="13" t="s">
        <v>76</v>
      </c>
      <c r="E11" s="13"/>
      <c r="F11" s="13" t="s">
        <v>76</v>
      </c>
      <c r="G11" s="13" t="s">
        <v>76</v>
      </c>
      <c r="H11" s="12"/>
      <c r="I11" s="9"/>
      <c r="J11" s="8" t="s">
        <v>3</v>
      </c>
      <c r="K11" s="8" t="s">
        <v>33</v>
      </c>
      <c r="L11" s="9"/>
      <c r="M11" s="9"/>
      <c r="N11" s="9"/>
      <c r="O11" s="9"/>
      <c r="P11" s="8" t="str">
        <f t="shared" si="0"/>
        <v>Choose control A/NA</v>
      </c>
      <c r="Q11" s="8" t="str">
        <f t="shared" si="1"/>
        <v>Choose Implementation Status</v>
      </c>
      <c r="R11" s="8" t="str">
        <f t="shared" si="2"/>
        <v>Choose control A/NA</v>
      </c>
    </row>
    <row r="12" spans="1:18" ht="43.5" x14ac:dyDescent="0.35">
      <c r="A12" s="38"/>
      <c r="B12" s="8" t="s">
        <v>34</v>
      </c>
      <c r="C12" s="11" t="s">
        <v>35</v>
      </c>
      <c r="D12" s="13"/>
      <c r="E12" s="13"/>
      <c r="F12" s="13" t="s">
        <v>76</v>
      </c>
      <c r="G12" s="13" t="s">
        <v>76</v>
      </c>
      <c r="H12" s="12"/>
      <c r="I12" s="9"/>
      <c r="J12" s="8" t="s">
        <v>10</v>
      </c>
      <c r="K12" s="8" t="s">
        <v>36</v>
      </c>
      <c r="L12" s="9"/>
      <c r="M12" s="9"/>
      <c r="N12" s="9"/>
      <c r="O12" s="9"/>
      <c r="P12" s="8" t="str">
        <f t="shared" si="0"/>
        <v>Choose control A/NA</v>
      </c>
      <c r="Q12" s="8" t="str">
        <f t="shared" si="1"/>
        <v>Choose Implementation Status</v>
      </c>
      <c r="R12" s="8" t="str">
        <f t="shared" si="2"/>
        <v>Choose control A/NA</v>
      </c>
    </row>
    <row r="13" spans="1:18" ht="43.5" x14ac:dyDescent="0.35">
      <c r="A13" s="38"/>
      <c r="B13" s="8" t="s">
        <v>37</v>
      </c>
      <c r="C13" s="11" t="s">
        <v>38</v>
      </c>
      <c r="D13" s="13" t="s">
        <v>76</v>
      </c>
      <c r="E13" s="13" t="s">
        <v>76</v>
      </c>
      <c r="F13" s="13"/>
      <c r="G13" s="13" t="s">
        <v>76</v>
      </c>
      <c r="H13" s="12"/>
      <c r="I13" s="9"/>
      <c r="J13" s="8" t="s">
        <v>3</v>
      </c>
      <c r="K13" s="8" t="s">
        <v>7</v>
      </c>
      <c r="L13" s="9"/>
      <c r="M13" s="9"/>
      <c r="N13" s="9"/>
      <c r="O13" s="9"/>
      <c r="P13" s="8" t="str">
        <f t="shared" si="0"/>
        <v>Choose control A/NA</v>
      </c>
      <c r="Q13" s="8" t="str">
        <f t="shared" si="1"/>
        <v>Choose Implementation Status</v>
      </c>
      <c r="R13" s="8" t="str">
        <f t="shared" si="2"/>
        <v>Choose control A/NA</v>
      </c>
    </row>
    <row r="14" spans="1:18" ht="43.5" x14ac:dyDescent="0.35">
      <c r="A14" s="38" t="s">
        <v>39</v>
      </c>
      <c r="B14" s="8" t="s">
        <v>40</v>
      </c>
      <c r="C14" s="11" t="s">
        <v>41</v>
      </c>
      <c r="D14" s="13"/>
      <c r="E14" s="13" t="s">
        <v>76</v>
      </c>
      <c r="F14" s="13" t="s">
        <v>76</v>
      </c>
      <c r="G14" s="13" t="s">
        <v>76</v>
      </c>
      <c r="H14" s="12"/>
      <c r="I14" s="9"/>
      <c r="J14" s="8" t="s">
        <v>3</v>
      </c>
      <c r="K14" s="8" t="s">
        <v>42</v>
      </c>
      <c r="L14" s="9"/>
      <c r="M14" s="9"/>
      <c r="N14" s="9"/>
      <c r="O14" s="9"/>
      <c r="P14" s="8" t="str">
        <f t="shared" si="0"/>
        <v>Choose control A/NA</v>
      </c>
      <c r="Q14" s="8" t="str">
        <f t="shared" si="1"/>
        <v>Choose Implementation Status</v>
      </c>
      <c r="R14" s="8" t="str">
        <f t="shared" si="2"/>
        <v>Choose control A/NA</v>
      </c>
    </row>
    <row r="15" spans="1:18" ht="43.5" x14ac:dyDescent="0.35">
      <c r="A15" s="38"/>
      <c r="B15" s="8" t="s">
        <v>43</v>
      </c>
      <c r="C15" s="11" t="s">
        <v>44</v>
      </c>
      <c r="D15" s="13" t="s">
        <v>76</v>
      </c>
      <c r="E15" s="13" t="s">
        <v>76</v>
      </c>
      <c r="F15" s="13"/>
      <c r="G15" s="13" t="s">
        <v>76</v>
      </c>
      <c r="H15" s="12"/>
      <c r="I15" s="9"/>
      <c r="J15" s="8" t="s">
        <v>3</v>
      </c>
      <c r="K15" s="8" t="s">
        <v>45</v>
      </c>
      <c r="L15" s="9"/>
      <c r="M15" s="9"/>
      <c r="N15" s="9"/>
      <c r="O15" s="9"/>
      <c r="P15" s="8" t="str">
        <f t="shared" si="0"/>
        <v>Choose control A/NA</v>
      </c>
      <c r="Q15" s="8" t="str">
        <f t="shared" si="1"/>
        <v>Choose Implementation Status</v>
      </c>
      <c r="R15" s="8" t="str">
        <f t="shared" si="2"/>
        <v>Choose control A/NA</v>
      </c>
    </row>
    <row r="16" spans="1:18" ht="43.5" x14ac:dyDescent="0.35">
      <c r="A16" s="38"/>
      <c r="B16" s="8" t="s">
        <v>46</v>
      </c>
      <c r="C16" s="11" t="s">
        <v>47</v>
      </c>
      <c r="D16" s="13"/>
      <c r="E16" s="13"/>
      <c r="F16" s="13" t="s">
        <v>76</v>
      </c>
      <c r="G16" s="13" t="s">
        <v>76</v>
      </c>
      <c r="H16" s="12"/>
      <c r="I16" s="9"/>
      <c r="J16" s="8" t="s">
        <v>10</v>
      </c>
      <c r="K16" s="8" t="s">
        <v>36</v>
      </c>
      <c r="L16" s="9"/>
      <c r="M16" s="9"/>
      <c r="N16" s="9"/>
      <c r="O16" s="9"/>
      <c r="P16" s="8" t="str">
        <f t="shared" si="0"/>
        <v>Choose control A/NA</v>
      </c>
      <c r="Q16" s="8" t="str">
        <f t="shared" si="1"/>
        <v>Choose Implementation Status</v>
      </c>
      <c r="R16" s="8" t="str">
        <f t="shared" si="2"/>
        <v>Choose control A/NA</v>
      </c>
    </row>
    <row r="17" spans="1:18" ht="43.5" x14ac:dyDescent="0.35">
      <c r="A17" s="38"/>
      <c r="B17" s="8" t="s">
        <v>48</v>
      </c>
      <c r="C17" s="11" t="s">
        <v>49</v>
      </c>
      <c r="D17" s="13" t="s">
        <v>76</v>
      </c>
      <c r="E17" s="13" t="s">
        <v>76</v>
      </c>
      <c r="F17" s="13" t="s">
        <v>76</v>
      </c>
      <c r="G17" s="13" t="s">
        <v>76</v>
      </c>
      <c r="H17" s="12"/>
      <c r="I17" s="9"/>
      <c r="J17" s="8" t="s">
        <v>3</v>
      </c>
      <c r="K17" s="8" t="s">
        <v>50</v>
      </c>
      <c r="L17" s="9"/>
      <c r="M17" s="9"/>
      <c r="N17" s="9"/>
      <c r="O17" s="9"/>
      <c r="P17" s="8" t="str">
        <f t="shared" si="0"/>
        <v>Choose control A/NA</v>
      </c>
      <c r="Q17" s="8" t="str">
        <f t="shared" si="1"/>
        <v>Choose Implementation Status</v>
      </c>
      <c r="R17" s="8" t="str">
        <f t="shared" si="2"/>
        <v>Choose control A/NA</v>
      </c>
    </row>
    <row r="18" spans="1:18" ht="43.5" x14ac:dyDescent="0.35">
      <c r="A18" s="38" t="s">
        <v>51</v>
      </c>
      <c r="B18" s="8" t="s">
        <v>52</v>
      </c>
      <c r="C18" s="11" t="s">
        <v>53</v>
      </c>
      <c r="D18" s="13" t="s">
        <v>76</v>
      </c>
      <c r="E18" s="13" t="s">
        <v>76</v>
      </c>
      <c r="F18" s="13" t="s">
        <v>76</v>
      </c>
      <c r="G18" s="13" t="s">
        <v>76</v>
      </c>
      <c r="H18" s="12"/>
      <c r="I18" s="9"/>
      <c r="J18" s="8" t="s">
        <v>3</v>
      </c>
      <c r="K18" s="8" t="s">
        <v>54</v>
      </c>
      <c r="L18" s="9"/>
      <c r="M18" s="9"/>
      <c r="N18" s="9"/>
      <c r="O18" s="9"/>
      <c r="P18" s="8" t="str">
        <f t="shared" si="0"/>
        <v>Choose control A/NA</v>
      </c>
      <c r="Q18" s="8" t="str">
        <f t="shared" si="1"/>
        <v>Choose Implementation Status</v>
      </c>
      <c r="R18" s="8" t="str">
        <f t="shared" si="2"/>
        <v>Choose control A/NA</v>
      </c>
    </row>
    <row r="19" spans="1:18" ht="43.5" x14ac:dyDescent="0.35">
      <c r="A19" s="38"/>
      <c r="B19" s="8" t="s">
        <v>55</v>
      </c>
      <c r="C19" s="11" t="s">
        <v>56</v>
      </c>
      <c r="D19" s="13" t="s">
        <v>76</v>
      </c>
      <c r="E19" s="13" t="s">
        <v>76</v>
      </c>
      <c r="F19" s="13" t="s">
        <v>76</v>
      </c>
      <c r="G19" s="13" t="s">
        <v>76</v>
      </c>
      <c r="H19" s="12"/>
      <c r="I19" s="9"/>
      <c r="J19" s="8" t="s">
        <v>3</v>
      </c>
      <c r="K19" s="8" t="s">
        <v>57</v>
      </c>
      <c r="L19" s="9"/>
      <c r="M19" s="9"/>
      <c r="N19" s="9"/>
      <c r="O19" s="9"/>
      <c r="P19" s="8" t="str">
        <f t="shared" si="0"/>
        <v>Choose control A/NA</v>
      </c>
      <c r="Q19" s="8" t="str">
        <f t="shared" si="1"/>
        <v>Choose Implementation Status</v>
      </c>
      <c r="R19" s="8" t="str">
        <f t="shared" si="2"/>
        <v>Choose control A/NA</v>
      </c>
    </row>
    <row r="20" spans="1:18" ht="43.5" x14ac:dyDescent="0.35">
      <c r="A20" s="38"/>
      <c r="B20" s="8" t="s">
        <v>58</v>
      </c>
      <c r="C20" s="11" t="s">
        <v>59</v>
      </c>
      <c r="D20" s="13"/>
      <c r="E20" s="13" t="s">
        <v>76</v>
      </c>
      <c r="F20" s="13" t="s">
        <v>76</v>
      </c>
      <c r="G20" s="13" t="s">
        <v>76</v>
      </c>
      <c r="H20" s="12"/>
      <c r="I20" s="9"/>
      <c r="J20" s="8" t="s">
        <v>10</v>
      </c>
      <c r="K20" s="8" t="s">
        <v>60</v>
      </c>
      <c r="L20" s="9"/>
      <c r="M20" s="9"/>
      <c r="N20" s="9"/>
      <c r="O20" s="9"/>
      <c r="P20" s="8" t="str">
        <f t="shared" si="0"/>
        <v>Choose control A/NA</v>
      </c>
      <c r="Q20" s="8" t="str">
        <f t="shared" si="1"/>
        <v>Choose Implementation Status</v>
      </c>
      <c r="R20" s="8" t="str">
        <f t="shared" si="2"/>
        <v>Choose control A/NA</v>
      </c>
    </row>
    <row r="21" spans="1:18" x14ac:dyDescent="0.35">
      <c r="B21" s="1"/>
    </row>
    <row r="22" spans="1:18" x14ac:dyDescent="0.35">
      <c r="B22" s="1"/>
    </row>
    <row r="24" spans="1:18" x14ac:dyDescent="0.35">
      <c r="B24" s="1"/>
    </row>
    <row r="26" spans="1:18" x14ac:dyDescent="0.35">
      <c r="B26" s="1"/>
    </row>
    <row r="27" spans="1:18" x14ac:dyDescent="0.35">
      <c r="B27" s="1"/>
    </row>
  </sheetData>
  <autoFilter ref="B1:O1" xr:uid="{65EC9CFB-038D-423F-8E73-60BE5092EFA3}"/>
  <mergeCells count="5">
    <mergeCell ref="A2:A5"/>
    <mergeCell ref="A6:A9"/>
    <mergeCell ref="A10:A13"/>
    <mergeCell ref="A14:A17"/>
    <mergeCell ref="A18:A20"/>
  </mergeCells>
  <conditionalFormatting sqref="I1:I1048576">
    <cfRule type="expression" dxfId="9" priority="8">
      <formula>AND($G2="NA",$H2="")</formula>
    </cfRule>
  </conditionalFormatting>
  <conditionalFormatting sqref="J1:J1048576">
    <cfRule type="cellIs" dxfId="8" priority="11" operator="equal">
      <formula>"Low"</formula>
    </cfRule>
    <cfRule type="cellIs" dxfId="7" priority="12" operator="equal">
      <formula>"Medium"</formula>
    </cfRule>
    <cfRule type="cellIs" dxfId="6" priority="13" operator="equal">
      <formula>"High"</formula>
    </cfRule>
  </conditionalFormatting>
  <conditionalFormatting sqref="L1:L1048576">
    <cfRule type="cellIs" dxfId="5" priority="14" operator="equal">
      <formula>"I"</formula>
    </cfRule>
    <cfRule type="cellIs" dxfId="4" priority="15" operator="equal">
      <formula>"PI"</formula>
    </cfRule>
    <cfRule type="cellIs" dxfId="3" priority="16" operator="equal">
      <formula>"NI"</formula>
    </cfRule>
  </conditionalFormatting>
  <conditionalFormatting sqref="R2:R20">
    <cfRule type="colorScale" priority="1">
      <colorScale>
        <cfvo type="num" val="&quot;&lt;1&quot;"/>
        <cfvo type="num" val="&quot;1-1.99&quot;"/>
        <cfvo type="num" val="&quot;&gt;2&quot;"/>
        <color rgb="FF00B050"/>
        <color theme="5"/>
        <color rgb="FFC00000"/>
      </colorScale>
    </cfRule>
    <cfRule type="cellIs" dxfId="2" priority="2" operator="lessThan">
      <formula>1</formula>
    </cfRule>
    <cfRule type="cellIs" dxfId="1" priority="3" operator="between">
      <formula>1</formula>
      <formula>1.99</formula>
    </cfRule>
    <cfRule type="cellIs" dxfId="0" priority="4" operator="greaterThan">
      <formula>2</formula>
    </cfRule>
  </conditionalFormatting>
  <dataValidations count="4">
    <dataValidation type="list" allowBlank="1" showInputMessage="1" showErrorMessage="1" sqref="D1:G1048576" xr:uid="{FB54DF07-34E1-4B30-8BA6-56111B713C1F}">
      <formula1>"Y,N"</formula1>
    </dataValidation>
    <dataValidation type="list" allowBlank="1" showInputMessage="1" showErrorMessage="1" sqref="H1:H1048576" xr:uid="{4E91EE3A-9F77-4B6C-8DDF-D4BB0F3CD7FE}">
      <formula1>"A,NA"</formula1>
    </dataValidation>
    <dataValidation type="list" allowBlank="1" showInputMessage="1" showErrorMessage="1" sqref="J1:J1048576" xr:uid="{BE16C680-AF7D-46FE-97CE-66664D8FE5A7}">
      <formula1>"High,Medium,Low"</formula1>
    </dataValidation>
    <dataValidation type="list" allowBlank="1" showInputMessage="1" showErrorMessage="1" sqref="L1:L1048576" xr:uid="{FD007812-0E48-4ACE-8C26-C70BF75C23D6}">
      <formula1>"I,PI,NI"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4D2E-A9C3-4A8D-9B50-0A22C9B79611}">
  <dimension ref="A1:B9"/>
  <sheetViews>
    <sheetView workbookViewId="0">
      <selection activeCell="B4" sqref="B4"/>
    </sheetView>
  </sheetViews>
  <sheetFormatPr defaultRowHeight="14.5" x14ac:dyDescent="0.35"/>
  <cols>
    <col min="1" max="1" width="17.7265625" bestFit="1" customWidth="1"/>
    <col min="2" max="2" width="90.1796875" bestFit="1" customWidth="1"/>
  </cols>
  <sheetData>
    <row r="1" spans="1:2" x14ac:dyDescent="0.35">
      <c r="A1" s="6" t="s">
        <v>77</v>
      </c>
      <c r="B1" s="6" t="s">
        <v>78</v>
      </c>
    </row>
    <row r="2" spans="1:2" x14ac:dyDescent="0.35">
      <c r="A2" s="2" t="s">
        <v>79</v>
      </c>
      <c r="B2" s="2" t="s">
        <v>89</v>
      </c>
    </row>
    <row r="3" spans="1:2" x14ac:dyDescent="0.35">
      <c r="A3" s="2" t="s">
        <v>80</v>
      </c>
      <c r="B3" s="2" t="s">
        <v>90</v>
      </c>
    </row>
    <row r="4" spans="1:2" x14ac:dyDescent="0.35">
      <c r="A4" s="5" t="s">
        <v>87</v>
      </c>
      <c r="B4" s="5" t="s">
        <v>88</v>
      </c>
    </row>
    <row r="5" spans="1:2" x14ac:dyDescent="0.35">
      <c r="A5" s="2" t="s">
        <v>81</v>
      </c>
      <c r="B5" s="2" t="s">
        <v>91</v>
      </c>
    </row>
    <row r="6" spans="1:2" x14ac:dyDescent="0.35">
      <c r="A6" s="5" t="s">
        <v>85</v>
      </c>
      <c r="B6" s="5" t="s">
        <v>86</v>
      </c>
    </row>
    <row r="7" spans="1:2" x14ac:dyDescent="0.35">
      <c r="A7" s="2" t="s">
        <v>82</v>
      </c>
      <c r="B7" s="2" t="s">
        <v>92</v>
      </c>
    </row>
    <row r="8" spans="1:2" x14ac:dyDescent="0.35">
      <c r="A8" s="2" t="s">
        <v>83</v>
      </c>
      <c r="B8" s="2" t="s">
        <v>93</v>
      </c>
    </row>
    <row r="9" spans="1:2" x14ac:dyDescent="0.35">
      <c r="A9" s="2" t="s">
        <v>84</v>
      </c>
      <c r="B9" s="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Dashboard</vt:lpstr>
      <vt:lpstr>Gap Assessment</vt:lpstr>
      <vt:lpstr>NA_Justifications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Devanath R</dc:creator>
  <cp:lastModifiedBy>Devanath R</cp:lastModifiedBy>
  <dcterms:created xsi:type="dcterms:W3CDTF">2015-06-05T18:17:20Z</dcterms:created>
  <dcterms:modified xsi:type="dcterms:W3CDTF">2026-02-17T11:09:17Z</dcterms:modified>
</cp:coreProperties>
</file>